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belajar\data analyst\portofolio\"/>
    </mc:Choice>
  </mc:AlternateContent>
  <xr:revisionPtr revIDLastSave="0" documentId="8_{67CE1224-8E32-4654-8B90-BA42C1524649}" xr6:coauthVersionLast="47" xr6:coauthVersionMax="47" xr10:uidLastSave="{00000000-0000-0000-0000-000000000000}"/>
  <bookViews>
    <workbookView xWindow="-98" yWindow="-98" windowWidth="19396" windowHeight="12196" activeTab="4" xr2:uid="{00000000-000D-0000-FFFF-FFFF00000000}"/>
  </bookViews>
  <sheets>
    <sheet name="Data Mentah" sheetId="2" r:id="rId1"/>
    <sheet name="Data Olah" sheetId="1" r:id="rId2"/>
    <sheet name="Calculation" sheetId="3" r:id="rId3"/>
    <sheet name="Dashboard" sheetId="4" r:id="rId4"/>
    <sheet name="Dashboard (2)" sheetId="7" r:id="rId5"/>
  </sheets>
  <definedNames>
    <definedName name="_xlnm._FilterDatabase" localSheetId="1" hidden="1">'Data Olah'!$A$1:$K$1001</definedName>
    <definedName name="_xlchart.v5.0" hidden="1">Calculation!$E$18</definedName>
    <definedName name="_xlchart.v5.1" hidden="1">Calculation!$E$19:$E$28</definedName>
    <definedName name="_xlchart.v5.10" hidden="1">Calculation!$F$18</definedName>
    <definedName name="_xlchart.v5.11" hidden="1">Calculation!$F$19:$F$28</definedName>
    <definedName name="_xlchart.v5.2" hidden="1">Calculation!$F$18</definedName>
    <definedName name="_xlchart.v5.3" hidden="1">Calculation!$F$19:$F$28</definedName>
    <definedName name="_xlchart.v5.4" hidden="1">Calculation!$E$18</definedName>
    <definedName name="_xlchart.v5.5" hidden="1">Calculation!$E$19:$E$28</definedName>
    <definedName name="_xlchart.v5.6" hidden="1">Calculation!$F$18</definedName>
    <definedName name="_xlchart.v5.7" hidden="1">Calculation!$F$19:$F$28</definedName>
    <definedName name="_xlchart.v5.8" hidden="1">Calculation!$E$18</definedName>
    <definedName name="_xlchart.v5.9" hidden="1">Calculation!$E$19:$E$28</definedName>
    <definedName name="NativeTimeline_Date1">#N/A</definedName>
    <definedName name="Slicer_Country1">#N/A</definedName>
    <definedName name="Slicer_Segment1">#N/A</definedName>
  </definedNames>
  <calcPr calcId="191029"/>
  <pivotCaches>
    <pivotCache cacheId="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0" i="3" l="1"/>
  <c r="F21" i="3"/>
  <c r="F22" i="3"/>
  <c r="F23" i="3"/>
  <c r="F24" i="3"/>
  <c r="F25" i="3"/>
  <c r="F26" i="3"/>
  <c r="F27" i="3"/>
  <c r="F28" i="3"/>
  <c r="F19" i="3"/>
  <c r="E20" i="3"/>
  <c r="E21" i="3"/>
  <c r="E22" i="3"/>
  <c r="E23" i="3"/>
  <c r="E24" i="3"/>
  <c r="E25" i="3"/>
  <c r="E26" i="3"/>
  <c r="E27" i="3"/>
  <c r="E28" i="3"/>
  <c r="E19" i="3"/>
  <c r="F18" i="3"/>
  <c r="E18" i="3"/>
  <c r="I51" i="2"/>
  <c r="G51" i="2"/>
  <c r="H51" i="2" s="1"/>
  <c r="J51" i="2" s="1"/>
  <c r="I50" i="2"/>
  <c r="G50" i="2"/>
  <c r="H50" i="2" s="1"/>
  <c r="J50" i="2" s="1"/>
  <c r="I49" i="2"/>
  <c r="G49" i="2"/>
  <c r="H49" i="2" s="1"/>
  <c r="J49" i="2" s="1"/>
  <c r="I48" i="2"/>
  <c r="G48" i="2"/>
  <c r="H48" i="2" s="1"/>
  <c r="J48" i="2" s="1"/>
  <c r="I47" i="2"/>
  <c r="G47" i="2"/>
  <c r="H47" i="2" s="1"/>
  <c r="J47" i="2" s="1"/>
  <c r="I46" i="2"/>
  <c r="G46" i="2"/>
  <c r="H46" i="2" s="1"/>
  <c r="J46" i="2" s="1"/>
  <c r="I45" i="2"/>
  <c r="G45" i="2"/>
  <c r="H45" i="2" s="1"/>
  <c r="J45" i="2" s="1"/>
  <c r="I44" i="2"/>
  <c r="G44" i="2"/>
  <c r="H44" i="2" s="1"/>
  <c r="J44" i="2" s="1"/>
  <c r="I43" i="2"/>
  <c r="G43" i="2"/>
  <c r="H43" i="2" s="1"/>
  <c r="J43" i="2" s="1"/>
  <c r="I42" i="2"/>
  <c r="G42" i="2"/>
  <c r="H42" i="2" s="1"/>
  <c r="J42" i="2" s="1"/>
  <c r="I41" i="2"/>
  <c r="G41" i="2"/>
  <c r="H41" i="2" s="1"/>
  <c r="J41" i="2" s="1"/>
  <c r="I40" i="2"/>
  <c r="G40" i="2"/>
  <c r="H40" i="2" s="1"/>
  <c r="J40" i="2" s="1"/>
  <c r="I39" i="2"/>
  <c r="G39" i="2"/>
  <c r="H39" i="2" s="1"/>
  <c r="J39" i="2" s="1"/>
  <c r="I38" i="2"/>
  <c r="G38" i="2"/>
  <c r="H38" i="2" s="1"/>
  <c r="J38" i="2" s="1"/>
  <c r="I37" i="2"/>
  <c r="G37" i="2"/>
  <c r="H37" i="2" s="1"/>
  <c r="J37" i="2" s="1"/>
  <c r="I36" i="2"/>
  <c r="G36" i="2"/>
  <c r="H36" i="2" s="1"/>
  <c r="J36" i="2" s="1"/>
  <c r="I35" i="2"/>
  <c r="G35" i="2"/>
  <c r="H35" i="2" s="1"/>
  <c r="J35" i="2" s="1"/>
  <c r="I34" i="2"/>
  <c r="G34" i="2"/>
  <c r="H34" i="2" s="1"/>
  <c r="J34" i="2" s="1"/>
  <c r="I33" i="2"/>
  <c r="G33" i="2"/>
  <c r="H33" i="2" s="1"/>
  <c r="J33" i="2" s="1"/>
  <c r="I32" i="2"/>
  <c r="G32" i="2"/>
  <c r="H32" i="2" s="1"/>
  <c r="J32" i="2" s="1"/>
  <c r="I31" i="2"/>
  <c r="G31" i="2"/>
  <c r="H31" i="2" s="1"/>
  <c r="J31" i="2" s="1"/>
  <c r="I30" i="2"/>
  <c r="G30" i="2"/>
  <c r="H30" i="2" s="1"/>
  <c r="J30" i="2" s="1"/>
  <c r="I29" i="2"/>
  <c r="G29" i="2"/>
  <c r="H29" i="2" s="1"/>
  <c r="J29" i="2" s="1"/>
  <c r="I28" i="2"/>
  <c r="G28" i="2"/>
  <c r="H28" i="2" s="1"/>
  <c r="J28" i="2" s="1"/>
  <c r="I27" i="2"/>
  <c r="G27" i="2"/>
  <c r="H27" i="2" s="1"/>
  <c r="J27" i="2" s="1"/>
  <c r="I26" i="2"/>
  <c r="G26" i="2"/>
  <c r="H26" i="2" s="1"/>
  <c r="J26" i="2" s="1"/>
  <c r="I25" i="2"/>
  <c r="G25" i="2"/>
  <c r="H25" i="2" s="1"/>
  <c r="J25" i="2" s="1"/>
  <c r="I24" i="2"/>
  <c r="G24" i="2"/>
  <c r="H24" i="2" s="1"/>
  <c r="J24" i="2" s="1"/>
  <c r="I23" i="2"/>
  <c r="G23" i="2"/>
  <c r="H23" i="2" s="1"/>
  <c r="J23" i="2" s="1"/>
  <c r="I22" i="2"/>
  <c r="G22" i="2"/>
  <c r="H22" i="2" s="1"/>
  <c r="J22" i="2" s="1"/>
  <c r="I21" i="2"/>
  <c r="G21" i="2"/>
  <c r="H21" i="2" s="1"/>
  <c r="J21" i="2" s="1"/>
  <c r="I20" i="2"/>
  <c r="G20" i="2"/>
  <c r="H20" i="2" s="1"/>
  <c r="J20" i="2" s="1"/>
  <c r="I19" i="2"/>
  <c r="G19" i="2"/>
  <c r="H19" i="2" s="1"/>
  <c r="J19" i="2" s="1"/>
  <c r="I18" i="2"/>
  <c r="G18" i="2"/>
  <c r="H18" i="2" s="1"/>
  <c r="J18" i="2" s="1"/>
  <c r="I17" i="2"/>
  <c r="G17" i="2"/>
  <c r="H17" i="2" s="1"/>
  <c r="J17" i="2" s="1"/>
  <c r="I16" i="2"/>
  <c r="G16" i="2"/>
  <c r="H16" i="2" s="1"/>
  <c r="J16" i="2" s="1"/>
  <c r="I15" i="2"/>
  <c r="G15" i="2"/>
  <c r="H15" i="2" s="1"/>
  <c r="J15" i="2" s="1"/>
  <c r="I14" i="2"/>
  <c r="G14" i="2"/>
  <c r="H14" i="2" s="1"/>
  <c r="J14" i="2" s="1"/>
  <c r="I13" i="2"/>
  <c r="G13" i="2"/>
  <c r="H13" i="2" s="1"/>
  <c r="J13" i="2" s="1"/>
  <c r="I12" i="2"/>
  <c r="G12" i="2"/>
  <c r="H12" i="2" s="1"/>
  <c r="J12" i="2" s="1"/>
  <c r="I11" i="2"/>
  <c r="G11" i="2"/>
  <c r="H11" i="2" s="1"/>
  <c r="J11" i="2" s="1"/>
  <c r="I10" i="2"/>
  <c r="G10" i="2"/>
  <c r="H10" i="2" s="1"/>
  <c r="J10" i="2" s="1"/>
  <c r="I9" i="2"/>
  <c r="G9" i="2"/>
  <c r="H9" i="2" s="1"/>
  <c r="J9" i="2" s="1"/>
  <c r="I8" i="2"/>
  <c r="G8" i="2"/>
  <c r="H8" i="2" s="1"/>
  <c r="J8" i="2" s="1"/>
  <c r="I7" i="2"/>
  <c r="G7" i="2"/>
  <c r="H7" i="2" s="1"/>
  <c r="J7" i="2" s="1"/>
  <c r="I6" i="2"/>
  <c r="G6" i="2"/>
  <c r="H6" i="2" s="1"/>
  <c r="J6" i="2" s="1"/>
  <c r="I5" i="2"/>
  <c r="G5" i="2"/>
  <c r="H5" i="2" s="1"/>
  <c r="J5" i="2" s="1"/>
  <c r="I4" i="2"/>
  <c r="G4" i="2"/>
  <c r="H4" i="2" s="1"/>
  <c r="J4" i="2" s="1"/>
  <c r="I3" i="2"/>
  <c r="G3" i="2"/>
  <c r="H3" i="2" s="1"/>
  <c r="J3" i="2" s="1"/>
  <c r="I2" i="2"/>
  <c r="G2" i="2"/>
  <c r="H2" i="2" s="1"/>
  <c r="J2" i="2" s="1"/>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H2" i="1"/>
  <c r="J2" i="1"/>
  <c r="G2" i="1"/>
  <c r="G7" i="1"/>
  <c r="H7" i="1" s="1"/>
  <c r="G112" i="1"/>
  <c r="H112" i="1" s="1"/>
  <c r="G519" i="1"/>
  <c r="H519" i="1" s="1"/>
  <c r="G255" i="1"/>
  <c r="H255" i="1" s="1"/>
  <c r="G195" i="1"/>
  <c r="H195" i="1" s="1"/>
  <c r="G418" i="1"/>
  <c r="H418" i="1" s="1"/>
  <c r="G664" i="1"/>
  <c r="H664" i="1" s="1"/>
  <c r="G71" i="1"/>
  <c r="H71" i="1" s="1"/>
  <c r="G215" i="1"/>
  <c r="H215" i="1" s="1"/>
  <c r="G147" i="1"/>
  <c r="H147" i="1" s="1"/>
  <c r="G49" i="1"/>
  <c r="H49" i="1" s="1"/>
  <c r="G424" i="1"/>
  <c r="H424" i="1" s="1"/>
  <c r="G293" i="1"/>
  <c r="H293" i="1" s="1"/>
  <c r="G801" i="1"/>
  <c r="H801" i="1" s="1"/>
  <c r="G843" i="1"/>
  <c r="H843" i="1" s="1"/>
  <c r="G146" i="1"/>
  <c r="H146" i="1" s="1"/>
  <c r="G11" i="1"/>
  <c r="H11" i="1" s="1"/>
  <c r="J11" i="1" s="1"/>
  <c r="L11" i="1" s="1"/>
  <c r="G920" i="1"/>
  <c r="H920" i="1" s="1"/>
  <c r="G248" i="1"/>
  <c r="H248" i="1" s="1"/>
  <c r="G495" i="1"/>
  <c r="H495" i="1" s="1"/>
  <c r="G936" i="1"/>
  <c r="H936" i="1" s="1"/>
  <c r="G129" i="1"/>
  <c r="H129" i="1" s="1"/>
  <c r="G201" i="1"/>
  <c r="H201" i="1" s="1"/>
  <c r="G952" i="1"/>
  <c r="H952" i="1" s="1"/>
  <c r="G335" i="1"/>
  <c r="H335" i="1" s="1"/>
  <c r="G314" i="1"/>
  <c r="H314" i="1" s="1"/>
  <c r="G342" i="1"/>
  <c r="H342" i="1" s="1"/>
  <c r="G116" i="1"/>
  <c r="H116" i="1" s="1"/>
  <c r="G588" i="1"/>
  <c r="H588" i="1" s="1"/>
  <c r="G865" i="1"/>
  <c r="H865" i="1" s="1"/>
  <c r="G911" i="1"/>
  <c r="H911" i="1" s="1"/>
  <c r="G904" i="1"/>
  <c r="H904" i="1" s="1"/>
  <c r="G227" i="1"/>
  <c r="H227" i="1" s="1"/>
  <c r="G222" i="1"/>
  <c r="H222" i="1" s="1"/>
  <c r="G632" i="1"/>
  <c r="H632" i="1" s="1"/>
  <c r="G861" i="1"/>
  <c r="H861" i="1"/>
  <c r="G501" i="1"/>
  <c r="H501" i="1" s="1"/>
  <c r="G138" i="1"/>
  <c r="H138" i="1" s="1"/>
  <c r="G540" i="1"/>
  <c r="H540" i="1" s="1"/>
  <c r="G233" i="1"/>
  <c r="H233" i="1" s="1"/>
  <c r="G399" i="1"/>
  <c r="H399" i="1" s="1"/>
  <c r="G224" i="1"/>
  <c r="H224" i="1" s="1"/>
  <c r="G520" i="1"/>
  <c r="H520" i="1" s="1"/>
  <c r="G775" i="1"/>
  <c r="H775" i="1" s="1"/>
  <c r="G689" i="1"/>
  <c r="H689" i="1" s="1"/>
  <c r="G766" i="1"/>
  <c r="H766" i="1" s="1"/>
  <c r="G986" i="1"/>
  <c r="H986" i="1" s="1"/>
  <c r="G738" i="1"/>
  <c r="H738" i="1" s="1"/>
  <c r="G714" i="1"/>
  <c r="H714" i="1" s="1"/>
  <c r="G174" i="1"/>
  <c r="H174" i="1" s="1"/>
  <c r="G451" i="1"/>
  <c r="H451" i="1" s="1"/>
  <c r="G591" i="1"/>
  <c r="H591" i="1" s="1"/>
  <c r="G867" i="1"/>
  <c r="H867" i="1" s="1"/>
  <c r="G696" i="1"/>
  <c r="H696" i="1" s="1"/>
  <c r="G425" i="1"/>
  <c r="H425" i="1" s="1"/>
  <c r="G652" i="1"/>
  <c r="H652" i="1" s="1"/>
  <c r="G206" i="1"/>
  <c r="H206" i="1" s="1"/>
  <c r="G237" i="1"/>
  <c r="H237" i="1" s="1"/>
  <c r="G730" i="1"/>
  <c r="H730" i="1" s="1"/>
  <c r="G550" i="1"/>
  <c r="H550" i="1" s="1"/>
  <c r="G563" i="1"/>
  <c r="H563" i="1" s="1"/>
  <c r="G397" i="1"/>
  <c r="H397" i="1" s="1"/>
  <c r="G567" i="1"/>
  <c r="H567" i="1" s="1"/>
  <c r="G360" i="1"/>
  <c r="H360" i="1" s="1"/>
  <c r="G370" i="1"/>
  <c r="H370" i="1" s="1"/>
  <c r="G576" i="1"/>
  <c r="H576" i="1" s="1"/>
  <c r="G995" i="1"/>
  <c r="H995" i="1" s="1"/>
  <c r="G701" i="1"/>
  <c r="H701" i="1" s="1"/>
  <c r="G292" i="1"/>
  <c r="H292" i="1" s="1"/>
  <c r="G158" i="1"/>
  <c r="H158" i="1" s="1"/>
  <c r="G613" i="1"/>
  <c r="H613" i="1" s="1"/>
  <c r="G272" i="1"/>
  <c r="H272" i="1" s="1"/>
  <c r="G225" i="1"/>
  <c r="H225" i="1" s="1"/>
  <c r="G829" i="1"/>
  <c r="H829" i="1" s="1"/>
  <c r="G506" i="1"/>
  <c r="H506" i="1" s="1"/>
  <c r="G511" i="1"/>
  <c r="H511" i="1" s="1"/>
  <c r="G473" i="1"/>
  <c r="H473" i="1" s="1"/>
  <c r="G312" i="1"/>
  <c r="H312" i="1" s="1"/>
  <c r="G639" i="1"/>
  <c r="H639" i="1" s="1"/>
  <c r="G919" i="1"/>
  <c r="H919" i="1" s="1"/>
  <c r="G619" i="1"/>
  <c r="H619" i="1" s="1"/>
  <c r="G326" i="1"/>
  <c r="H326" i="1" s="1"/>
  <c r="G817" i="1"/>
  <c r="H817" i="1" s="1"/>
  <c r="G582" i="1"/>
  <c r="H582" i="1" s="1"/>
  <c r="G140" i="1"/>
  <c r="H140" i="1" s="1"/>
  <c r="G745" i="1"/>
  <c r="H745" i="1" s="1"/>
  <c r="G43" i="1"/>
  <c r="H43" i="1" s="1"/>
  <c r="G14" i="1"/>
  <c r="H14" i="1" s="1"/>
  <c r="G699" i="1"/>
  <c r="H699" i="1" s="1"/>
  <c r="G446" i="1"/>
  <c r="H446" i="1" s="1"/>
  <c r="G620" i="1"/>
  <c r="H620" i="1" s="1"/>
  <c r="G802" i="1"/>
  <c r="H802" i="1" s="1"/>
  <c r="G903" i="1"/>
  <c r="H903" i="1" s="1"/>
  <c r="G200" i="1"/>
  <c r="H200" i="1" s="1"/>
  <c r="G527" i="1"/>
  <c r="H527" i="1" s="1"/>
  <c r="G160" i="1"/>
  <c r="H160" i="1" s="1"/>
  <c r="G1000" i="1"/>
  <c r="H1000" i="1" s="1"/>
  <c r="G946" i="1"/>
  <c r="H946" i="1" s="1"/>
  <c r="G269" i="1"/>
  <c r="H269" i="1" s="1"/>
  <c r="G976" i="1"/>
  <c r="H976" i="1" s="1"/>
  <c r="G449" i="1"/>
  <c r="H449" i="1" s="1"/>
  <c r="G571" i="1"/>
  <c r="H571" i="1" s="1"/>
  <c r="G651" i="1"/>
  <c r="H651" i="1" s="1"/>
  <c r="G351" i="1"/>
  <c r="H351" i="1" s="1"/>
  <c r="G168" i="1"/>
  <c r="H168" i="1" s="1"/>
  <c r="G353" i="1"/>
  <c r="H353" i="1" s="1"/>
  <c r="G655" i="1"/>
  <c r="H655" i="1" s="1"/>
  <c r="G603" i="1"/>
  <c r="H603" i="1" s="1"/>
  <c r="G330" i="1"/>
  <c r="H330" i="1" s="1"/>
  <c r="G629" i="1"/>
  <c r="H629" i="1" s="1"/>
  <c r="G736" i="1"/>
  <c r="H736" i="1" s="1"/>
  <c r="G440" i="1"/>
  <c r="H440" i="1" s="1"/>
  <c r="G993" i="1"/>
  <c r="H993" i="1" s="1"/>
  <c r="G483" i="1"/>
  <c r="H483" i="1" s="1"/>
  <c r="G386" i="1"/>
  <c r="H386" i="1" s="1"/>
  <c r="G697" i="1"/>
  <c r="H697" i="1" s="1"/>
  <c r="G32" i="1"/>
  <c r="H32" i="1" s="1"/>
  <c r="G118" i="1"/>
  <c r="H118" i="1" s="1"/>
  <c r="G477" i="1"/>
  <c r="H477" i="1" s="1"/>
  <c r="G555" i="1"/>
  <c r="H555" i="1" s="1"/>
  <c r="G427" i="1"/>
  <c r="H427" i="1" s="1"/>
  <c r="G485" i="1"/>
  <c r="H485" i="1" s="1"/>
  <c r="G722" i="1"/>
  <c r="H722" i="1" s="1"/>
  <c r="G430" i="1"/>
  <c r="H430" i="1" s="1"/>
  <c r="G48" i="1"/>
  <c r="H48" i="1" s="1"/>
  <c r="G818" i="1"/>
  <c r="H818" i="1" s="1"/>
  <c r="G492" i="1"/>
  <c r="H492" i="1" s="1"/>
  <c r="G390" i="1"/>
  <c r="H390" i="1" s="1"/>
  <c r="G315" i="1"/>
  <c r="H315" i="1" s="1"/>
  <c r="G693" i="1"/>
  <c r="H693" i="1" s="1"/>
  <c r="G106" i="1"/>
  <c r="H106" i="1" s="1"/>
  <c r="G618" i="1"/>
  <c r="H618" i="1" s="1"/>
  <c r="G290" i="1"/>
  <c r="H290" i="1" s="1"/>
  <c r="G134" i="1"/>
  <c r="H134" i="1" s="1"/>
  <c r="G905" i="1"/>
  <c r="H905" i="1" s="1"/>
  <c r="G148" i="1"/>
  <c r="H148" i="1" s="1"/>
  <c r="G252" i="1"/>
  <c r="H252" i="1" s="1"/>
  <c r="G180" i="1"/>
  <c r="H180" i="1" s="1"/>
  <c r="G488" i="1"/>
  <c r="H488" i="1" s="1"/>
  <c r="G544" i="1"/>
  <c r="H544" i="1" s="1"/>
  <c r="G827" i="1"/>
  <c r="H827" i="1" s="1"/>
  <c r="G944" i="1"/>
  <c r="H944" i="1" s="1"/>
  <c r="G308" i="1"/>
  <c r="H308" i="1" s="1"/>
  <c r="G466" i="1"/>
  <c r="H466" i="1" s="1"/>
  <c r="G796" i="1"/>
  <c r="H796" i="1" s="1"/>
  <c r="G853" i="1"/>
  <c r="H853" i="1" s="1"/>
  <c r="G814" i="1"/>
  <c r="H814" i="1" s="1"/>
  <c r="G90" i="1"/>
  <c r="H90" i="1" s="1"/>
  <c r="G403" i="1"/>
  <c r="H403" i="1" s="1"/>
  <c r="G859" i="1"/>
  <c r="H859" i="1" s="1"/>
  <c r="G67" i="1"/>
  <c r="H67" i="1" s="1"/>
  <c r="G559" i="1"/>
  <c r="H559" i="1" s="1"/>
  <c r="G377" i="1"/>
  <c r="H377" i="1" s="1"/>
  <c r="G26" i="1"/>
  <c r="H26" i="1" s="1"/>
  <c r="G528" i="1"/>
  <c r="H528" i="1" s="1"/>
  <c r="G895" i="1"/>
  <c r="H895" i="1" s="1"/>
  <c r="G291" i="1"/>
  <c r="H291" i="1" s="1"/>
  <c r="G16" i="1"/>
  <c r="H16" i="1" s="1"/>
  <c r="G931" i="1"/>
  <c r="H931" i="1" s="1"/>
  <c r="G92" i="1"/>
  <c r="H92" i="1" s="1"/>
  <c r="G587" i="1"/>
  <c r="H587" i="1" s="1"/>
  <c r="G891" i="1"/>
  <c r="H891" i="1" s="1"/>
  <c r="G280" i="1"/>
  <c r="H280" i="1" s="1"/>
  <c r="G189" i="1"/>
  <c r="H189" i="1" s="1"/>
  <c r="G958" i="1"/>
  <c r="H958" i="1" s="1"/>
  <c r="G36" i="1"/>
  <c r="H36" i="1" s="1"/>
  <c r="G964" i="1"/>
  <c r="H964" i="1" s="1"/>
  <c r="G646" i="1"/>
  <c r="H646" i="1" s="1"/>
  <c r="G219" i="1"/>
  <c r="H219" i="1" s="1"/>
  <c r="G373" i="1"/>
  <c r="H373" i="1" s="1"/>
  <c r="G214" i="1"/>
  <c r="H214" i="1" s="1"/>
  <c r="G192" i="1"/>
  <c r="H192" i="1" s="1"/>
  <c r="G658" i="1"/>
  <c r="H658" i="1" s="1"/>
  <c r="G481" i="1"/>
  <c r="H481" i="1" s="1"/>
  <c r="G406" i="1"/>
  <c r="H406" i="1" s="1"/>
  <c r="G622" i="1"/>
  <c r="H622" i="1" s="1"/>
  <c r="G257" i="1"/>
  <c r="H257" i="1" s="1"/>
  <c r="G303" i="1"/>
  <c r="H303" i="1" s="1"/>
  <c r="G155" i="1"/>
  <c r="H155" i="1" s="1"/>
  <c r="G599" i="1"/>
  <c r="H599" i="1" s="1"/>
  <c r="G850" i="1"/>
  <c r="H850" i="1" s="1"/>
  <c r="G81" i="1"/>
  <c r="H81" i="1" s="1"/>
  <c r="G436" i="1"/>
  <c r="H436" i="1" s="1"/>
  <c r="G334" i="1"/>
  <c r="H334" i="1" s="1"/>
  <c r="G203" i="1"/>
  <c r="H203" i="1" s="1"/>
  <c r="G416" i="1"/>
  <c r="H416" i="1" s="1"/>
  <c r="G739" i="1"/>
  <c r="H739" i="1" s="1"/>
  <c r="G320" i="1"/>
  <c r="H320" i="1" s="1"/>
  <c r="G663" i="1"/>
  <c r="H663" i="1" s="1"/>
  <c r="G595" i="1"/>
  <c r="H595" i="1" s="1"/>
  <c r="G210" i="1"/>
  <c r="H210" i="1" s="1"/>
  <c r="G412" i="1"/>
  <c r="H412" i="1" s="1"/>
  <c r="G79" i="1"/>
  <c r="H79" i="1" s="1"/>
  <c r="G204" i="1"/>
  <c r="H204" i="1" s="1"/>
  <c r="G799" i="1"/>
  <c r="H799" i="1" s="1"/>
  <c r="G471" i="1"/>
  <c r="H471" i="1" s="1"/>
  <c r="G677" i="1"/>
  <c r="H677" i="1" s="1"/>
  <c r="G332" i="1"/>
  <c r="H332" i="1" s="1"/>
  <c r="G657" i="1"/>
  <c r="H657" i="1" s="1"/>
  <c r="G220" i="1"/>
  <c r="H220" i="1" s="1"/>
  <c r="G532" i="1"/>
  <c r="H532" i="1" s="1"/>
  <c r="G518" i="1"/>
  <c r="H518" i="1" s="1"/>
  <c r="G387" i="1"/>
  <c r="H387" i="1" s="1"/>
  <c r="G712" i="1"/>
  <c r="H712" i="1" s="1"/>
  <c r="G685" i="1"/>
  <c r="H685" i="1" s="1"/>
  <c r="G929" i="1"/>
  <c r="H929" i="1" s="1"/>
  <c r="G347" i="1"/>
  <c r="H347" i="1" s="1"/>
  <c r="G780" i="1"/>
  <c r="H780" i="1" s="1"/>
  <c r="G666" i="1"/>
  <c r="H666" i="1" s="1"/>
  <c r="G649" i="1"/>
  <c r="H649" i="1" s="1"/>
  <c r="G196" i="1"/>
  <c r="H196" i="1" s="1"/>
  <c r="G579" i="1"/>
  <c r="H579" i="1" s="1"/>
  <c r="G906" i="1"/>
  <c r="H906" i="1" s="1"/>
  <c r="G531" i="1"/>
  <c r="H531" i="1" s="1"/>
  <c r="G900" i="1"/>
  <c r="H900" i="1" s="1"/>
  <c r="G868" i="1"/>
  <c r="H868" i="1" s="1"/>
  <c r="G536" i="1"/>
  <c r="H536" i="1" s="1"/>
  <c r="G985" i="1"/>
  <c r="H985" i="1" s="1"/>
  <c r="G869" i="1"/>
  <c r="H869" i="1" s="1"/>
  <c r="G476" i="1"/>
  <c r="H476" i="1" s="1"/>
  <c r="G459" i="1"/>
  <c r="H459" i="1" s="1"/>
  <c r="G246" i="1"/>
  <c r="H246" i="1" s="1"/>
  <c r="G419" i="1"/>
  <c r="H419" i="1" s="1"/>
  <c r="G316" i="1"/>
  <c r="H316" i="1" s="1"/>
  <c r="G921" i="1"/>
  <c r="H921" i="1" s="1"/>
  <c r="G420" i="1"/>
  <c r="H420" i="1" s="1"/>
  <c r="G823" i="1"/>
  <c r="H823" i="1" s="1"/>
  <c r="G398" i="1"/>
  <c r="H398" i="1" s="1"/>
  <c r="G414" i="1"/>
  <c r="H414" i="1" s="1"/>
  <c r="G186" i="1"/>
  <c r="H186" i="1" s="1"/>
  <c r="G757" i="1"/>
  <c r="H757" i="1" s="1"/>
  <c r="G791" i="1"/>
  <c r="H791" i="1" s="1"/>
  <c r="G172" i="1"/>
  <c r="H172" i="1" s="1"/>
  <c r="G163" i="1"/>
  <c r="H163" i="1" s="1"/>
  <c r="G143" i="1"/>
  <c r="H143" i="1" s="1"/>
  <c r="G111" i="1"/>
  <c r="H111" i="1" s="1"/>
  <c r="G912" i="1"/>
  <c r="H912" i="1" s="1"/>
  <c r="G727" i="1"/>
  <c r="H727" i="1" s="1"/>
  <c r="G53" i="1"/>
  <c r="H53" i="1" s="1"/>
  <c r="G380" i="1"/>
  <c r="H380" i="1" s="1"/>
  <c r="G20" i="1"/>
  <c r="H20" i="1" s="1"/>
  <c r="G887" i="1"/>
  <c r="H887" i="1" s="1"/>
  <c r="G385" i="1"/>
  <c r="H385" i="1" s="1"/>
  <c r="G75" i="1"/>
  <c r="H75" i="1" s="1"/>
  <c r="G755" i="1"/>
  <c r="H755" i="1" s="1"/>
  <c r="G442" i="1"/>
  <c r="H442" i="1" s="1"/>
  <c r="G64" i="1"/>
  <c r="H64" i="1" s="1"/>
  <c r="G73" i="1"/>
  <c r="H73" i="1" s="1"/>
  <c r="G845" i="1"/>
  <c r="H845" i="1" s="1"/>
  <c r="G915" i="1"/>
  <c r="H915" i="1" s="1"/>
  <c r="G305" i="1"/>
  <c r="H305" i="1" s="1"/>
  <c r="G893" i="1"/>
  <c r="H893" i="1" s="1"/>
  <c r="G671" i="1"/>
  <c r="H671" i="1" s="1"/>
  <c r="G52" i="1"/>
  <c r="H52" i="1" s="1"/>
  <c r="G443" i="1"/>
  <c r="H443" i="1" s="1"/>
  <c r="G383" i="1"/>
  <c r="H383" i="1" s="1"/>
  <c r="G82" i="1"/>
  <c r="H82" i="1" s="1"/>
  <c r="G933" i="1"/>
  <c r="H933" i="1" s="1"/>
  <c r="G12" i="1"/>
  <c r="H12" i="1" s="1"/>
  <c r="G228" i="1"/>
  <c r="H228" i="1" s="1"/>
  <c r="G458" i="1"/>
  <c r="H458" i="1" s="1"/>
  <c r="G209" i="1"/>
  <c r="H209" i="1" s="1"/>
  <c r="G139" i="1"/>
  <c r="H139" i="1" s="1"/>
  <c r="G28" i="1"/>
  <c r="H28" i="1" s="1"/>
  <c r="G114" i="1"/>
  <c r="H114" i="1" s="1"/>
  <c r="G961" i="1"/>
  <c r="H961" i="1" s="1"/>
  <c r="G265" i="1"/>
  <c r="H265" i="1" s="1"/>
  <c r="G266" i="1"/>
  <c r="H266" i="1" s="1"/>
  <c r="G978" i="1"/>
  <c r="H978" i="1" s="1"/>
  <c r="G809" i="1"/>
  <c r="H809" i="1" s="1"/>
  <c r="G990" i="1"/>
  <c r="H990" i="1" s="1"/>
  <c r="G816" i="1"/>
  <c r="H816" i="1" s="1"/>
  <c r="G841" i="1"/>
  <c r="H841" i="1" s="1"/>
  <c r="G260" i="1"/>
  <c r="H260" i="1" s="1"/>
  <c r="G633" i="1"/>
  <c r="H633" i="1" s="1"/>
  <c r="G278" i="1"/>
  <c r="H278" i="1" s="1"/>
  <c r="G223" i="1"/>
  <c r="H223" i="1" s="1"/>
  <c r="G991" i="1"/>
  <c r="H991" i="1" s="1"/>
  <c r="G623" i="1"/>
  <c r="H623" i="1" s="1"/>
  <c r="G465" i="1"/>
  <c r="H465" i="1" s="1"/>
  <c r="G541" i="1"/>
  <c r="H541" i="1" s="1"/>
  <c r="G631" i="1"/>
  <c r="H631" i="1" s="1"/>
  <c r="G236" i="1"/>
  <c r="H236" i="1" s="1"/>
  <c r="G394" i="1"/>
  <c r="H394" i="1" s="1"/>
  <c r="G133" i="1"/>
  <c r="H133" i="1" s="1"/>
  <c r="G593" i="1"/>
  <c r="H593" i="1" s="1"/>
  <c r="G732" i="1"/>
  <c r="H732" i="1" s="1"/>
  <c r="G950" i="1"/>
  <c r="H950" i="1" s="1"/>
  <c r="G565" i="1"/>
  <c r="H565" i="1" s="1"/>
  <c r="G928" i="1"/>
  <c r="H928" i="1" s="1"/>
  <c r="G299" i="1"/>
  <c r="H299" i="1" s="1"/>
  <c r="G243" i="1"/>
  <c r="H243" i="1" s="1"/>
  <c r="G151" i="1"/>
  <c r="H151" i="1" s="1"/>
  <c r="G453" i="1"/>
  <c r="H453" i="1" s="1"/>
  <c r="G271" i="1"/>
  <c r="H271" i="1" s="1"/>
  <c r="G113" i="1"/>
  <c r="H113" i="1" s="1"/>
  <c r="G130" i="1"/>
  <c r="H130" i="1" s="1"/>
  <c r="G319" i="1"/>
  <c r="H319" i="1" s="1"/>
  <c r="G966" i="1"/>
  <c r="H966" i="1" s="1"/>
  <c r="G89" i="1"/>
  <c r="H89" i="1" s="1"/>
  <c r="G242" i="1"/>
  <c r="H242" i="1" s="1"/>
  <c r="G733" i="1"/>
  <c r="H733" i="1" s="1"/>
  <c r="G580" i="1"/>
  <c r="H580" i="1" s="1"/>
  <c r="G557" i="1"/>
  <c r="H557" i="1" s="1"/>
  <c r="G517" i="1"/>
  <c r="H517" i="1" s="1"/>
  <c r="G648" i="1"/>
  <c r="H648" i="1" s="1"/>
  <c r="G573" i="1"/>
  <c r="H573" i="1" s="1"/>
  <c r="G98" i="1"/>
  <c r="H98" i="1" s="1"/>
  <c r="G392" i="1"/>
  <c r="H392" i="1" s="1"/>
  <c r="G753" i="1"/>
  <c r="H753" i="1" s="1"/>
  <c r="G438" i="1"/>
  <c r="H438" i="1" s="1"/>
  <c r="G774" i="1"/>
  <c r="H774" i="1" s="1"/>
  <c r="G279" i="1"/>
  <c r="H279" i="1" s="1"/>
  <c r="G549" i="1"/>
  <c r="H549" i="1" s="1"/>
  <c r="G472" i="1"/>
  <c r="H472" i="1" s="1"/>
  <c r="G487" i="1"/>
  <c r="H487" i="1" s="1"/>
  <c r="G258" i="1"/>
  <c r="H258" i="1" s="1"/>
  <c r="G626" i="1"/>
  <c r="H626" i="1" s="1"/>
  <c r="G627" i="1"/>
  <c r="H627" i="1" s="1"/>
  <c r="G434" i="1"/>
  <c r="H434" i="1" s="1"/>
  <c r="G951" i="1"/>
  <c r="H951" i="1" s="1"/>
  <c r="G703" i="1"/>
  <c r="H703" i="1" s="1"/>
  <c r="G202" i="1"/>
  <c r="H202" i="1" s="1"/>
  <c r="G491" i="1"/>
  <c r="H491" i="1" s="1"/>
  <c r="G825" i="1"/>
  <c r="H825" i="1" s="1"/>
  <c r="G156" i="1"/>
  <c r="H156" i="1" s="1"/>
  <c r="G474" i="1"/>
  <c r="H474" i="1" s="1"/>
  <c r="G604" i="1"/>
  <c r="H604" i="1" s="1"/>
  <c r="G824" i="1"/>
  <c r="H824" i="1" s="1"/>
  <c r="G165" i="1"/>
  <c r="H165" i="1" s="1"/>
  <c r="G34" i="1"/>
  <c r="H34" i="1" s="1"/>
  <c r="G157" i="1"/>
  <c r="H157" i="1" s="1"/>
  <c r="G761" i="1"/>
  <c r="H761" i="1" s="1"/>
  <c r="G880" i="1"/>
  <c r="H880" i="1" s="1"/>
  <c r="G851" i="1"/>
  <c r="H851" i="1" s="1"/>
  <c r="G395" i="1"/>
  <c r="H395" i="1" s="1"/>
  <c r="G310" i="1"/>
  <c r="H310" i="1" s="1"/>
  <c r="G376" i="1"/>
  <c r="H376" i="1" s="1"/>
  <c r="G807" i="1"/>
  <c r="H807" i="1" s="1"/>
  <c r="G878" i="1"/>
  <c r="H878" i="1" s="1"/>
  <c r="G24" i="1"/>
  <c r="H24" i="1" s="1"/>
  <c r="G650" i="1"/>
  <c r="H650" i="1" s="1"/>
  <c r="G992" i="1"/>
  <c r="H992" i="1" s="1"/>
  <c r="G881" i="1"/>
  <c r="H881" i="1" s="1"/>
  <c r="G498" i="1"/>
  <c r="H498" i="1" s="1"/>
  <c r="G975" i="1"/>
  <c r="H975" i="1" s="1"/>
  <c r="G785" i="1"/>
  <c r="H785" i="1" s="1"/>
  <c r="G987" i="1"/>
  <c r="H987" i="1" s="1"/>
  <c r="G18" i="1"/>
  <c r="H18" i="1" s="1"/>
  <c r="G542" i="1"/>
  <c r="H542" i="1" s="1"/>
  <c r="G401" i="1"/>
  <c r="H401" i="1" s="1"/>
  <c r="G884" i="1"/>
  <c r="H884" i="1" s="1"/>
  <c r="G507" i="1"/>
  <c r="H507" i="1" s="1"/>
  <c r="G879" i="1"/>
  <c r="H879" i="1" s="1"/>
  <c r="G309" i="1"/>
  <c r="H309" i="1" s="1"/>
  <c r="G963" i="1"/>
  <c r="H963" i="1" s="1"/>
  <c r="G653" i="1"/>
  <c r="H653" i="1" s="1"/>
  <c r="G479" i="1"/>
  <c r="H479" i="1" s="1"/>
  <c r="G813" i="1"/>
  <c r="H813" i="1" s="1"/>
  <c r="G318" i="1"/>
  <c r="H318" i="1" s="1"/>
  <c r="G137" i="1"/>
  <c r="H137" i="1" s="1"/>
  <c r="G611" i="1"/>
  <c r="H611" i="1" s="1"/>
  <c r="G207" i="1"/>
  <c r="H207" i="1" s="1"/>
  <c r="G645" i="1"/>
  <c r="H645" i="1" s="1"/>
  <c r="G452" i="1"/>
  <c r="H452" i="1" s="1"/>
  <c r="G752" i="1"/>
  <c r="H752" i="1" s="1"/>
  <c r="G875" i="1"/>
  <c r="H875" i="1" s="1"/>
  <c r="G855" i="1"/>
  <c r="H855" i="1" s="1"/>
  <c r="G624" i="1"/>
  <c r="H624" i="1" s="1"/>
  <c r="G690" i="1"/>
  <c r="H690" i="1" s="1"/>
  <c r="G350" i="1"/>
  <c r="H350" i="1" s="1"/>
  <c r="G306" i="1"/>
  <c r="H306" i="1" s="1"/>
  <c r="G899" i="1"/>
  <c r="H899" i="1" s="1"/>
  <c r="G87" i="1"/>
  <c r="H87" i="1" s="1"/>
  <c r="G725" i="1"/>
  <c r="H725" i="1" s="1"/>
  <c r="G589" i="1"/>
  <c r="H589" i="1" s="1"/>
  <c r="G605" i="1"/>
  <c r="H605" i="1" s="1"/>
  <c r="G417" i="1"/>
  <c r="H417" i="1" s="1"/>
  <c r="G561" i="1"/>
  <c r="H561" i="1" s="1"/>
  <c r="G932" i="1"/>
  <c r="H932" i="1" s="1"/>
  <c r="G902" i="1"/>
  <c r="H902" i="1" s="1"/>
  <c r="G382" i="1"/>
  <c r="H382" i="1" s="1"/>
  <c r="G642" i="1"/>
  <c r="H642" i="1" s="1"/>
  <c r="G538" i="1"/>
  <c r="H538" i="1" s="1"/>
  <c r="G574" i="1"/>
  <c r="H574" i="1" s="1"/>
  <c r="G273" i="1"/>
  <c r="H273" i="1" s="1"/>
  <c r="G598" i="1"/>
  <c r="H598" i="1" s="1"/>
  <c r="G552" i="1"/>
  <c r="H552" i="1" s="1"/>
  <c r="G131" i="1"/>
  <c r="H131" i="1" s="1"/>
  <c r="G91" i="1"/>
  <c r="H91" i="1" s="1"/>
  <c r="G909" i="1"/>
  <c r="H909" i="1" s="1"/>
  <c r="G957" i="1"/>
  <c r="H957" i="1" s="1"/>
  <c r="G275" i="1"/>
  <c r="H275" i="1" s="1"/>
  <c r="G503" i="1"/>
  <c r="H503" i="1" s="1"/>
  <c r="G600" i="1"/>
  <c r="H600" i="1" s="1"/>
  <c r="G768" i="1"/>
  <c r="H768" i="1" s="1"/>
  <c r="G211" i="1"/>
  <c r="H211" i="1" s="1"/>
  <c r="G625" i="1"/>
  <c r="H625" i="1" s="1"/>
  <c r="G502" i="1"/>
  <c r="H502" i="1" s="1"/>
  <c r="G839" i="1"/>
  <c r="H839" i="1" s="1"/>
  <c r="G918" i="1"/>
  <c r="H918" i="1" s="1"/>
  <c r="G545" i="1"/>
  <c r="H545" i="1" s="1"/>
  <c r="G989" i="1"/>
  <c r="H989" i="1" s="1"/>
  <c r="G596" i="1"/>
  <c r="H596" i="1" s="1"/>
  <c r="G259" i="1"/>
  <c r="H259" i="1" s="1"/>
  <c r="G672" i="1"/>
  <c r="H672" i="1" s="1"/>
  <c r="G765" i="1"/>
  <c r="H765" i="1" s="1"/>
  <c r="G123" i="1"/>
  <c r="H123" i="1" s="1"/>
  <c r="G616" i="1"/>
  <c r="H616" i="1" s="1"/>
  <c r="G713" i="1"/>
  <c r="H713" i="1" s="1"/>
  <c r="G941" i="1"/>
  <c r="H941" i="1" s="1"/>
  <c r="G375" i="1"/>
  <c r="H375" i="1" s="1"/>
  <c r="G662" i="1"/>
  <c r="H662" i="1" s="1"/>
  <c r="G789" i="1"/>
  <c r="H789" i="1" s="1"/>
  <c r="G93" i="1"/>
  <c r="H93" i="1" s="1"/>
  <c r="G808" i="1"/>
  <c r="H808" i="1" s="1"/>
  <c r="G973" i="1"/>
  <c r="H973" i="1" s="1"/>
  <c r="G19" i="1"/>
  <c r="H19" i="1" s="1"/>
  <c r="G322" i="1"/>
  <c r="H322" i="1" s="1"/>
  <c r="G842" i="1"/>
  <c r="H842" i="1" s="1"/>
  <c r="G553" i="1"/>
  <c r="H553" i="1" s="1"/>
  <c r="G27" i="1"/>
  <c r="H27" i="1" s="1"/>
  <c r="G9" i="1"/>
  <c r="H9" i="1" s="1"/>
  <c r="G772" i="1"/>
  <c r="H772" i="1" s="1"/>
  <c r="G393" i="1"/>
  <c r="H393" i="1" s="1"/>
  <c r="G339" i="1"/>
  <c r="H339" i="1" s="1"/>
  <c r="G441" i="1"/>
  <c r="H441" i="1" s="1"/>
  <c r="G218" i="1"/>
  <c r="H218" i="1" s="1"/>
  <c r="G575" i="1"/>
  <c r="H575" i="1" s="1"/>
  <c r="G852" i="1"/>
  <c r="H852" i="1" s="1"/>
  <c r="G431" i="1"/>
  <c r="H431" i="1" s="1"/>
  <c r="G828" i="1"/>
  <c r="H828" i="1" s="1"/>
  <c r="G729" i="1"/>
  <c r="H729" i="1" s="1"/>
  <c r="G117" i="1"/>
  <c r="H117" i="1" s="1"/>
  <c r="G943" i="1"/>
  <c r="H943" i="1" s="1"/>
  <c r="G142" i="1"/>
  <c r="H142" i="1" s="1"/>
  <c r="G687" i="1"/>
  <c r="H687" i="1" s="1"/>
  <c r="G94" i="1"/>
  <c r="H94" i="1" s="1"/>
  <c r="G539" i="1"/>
  <c r="H539" i="1" s="1"/>
  <c r="G286" i="1"/>
  <c r="H286" i="1" s="1"/>
  <c r="G268" i="1"/>
  <c r="H268" i="1" s="1"/>
  <c r="G345" i="1"/>
  <c r="H345" i="1" s="1"/>
  <c r="G675" i="1"/>
  <c r="H675" i="1" s="1"/>
  <c r="G508" i="1"/>
  <c r="H508" i="1" s="1"/>
  <c r="G783" i="1"/>
  <c r="H783" i="1" s="1"/>
  <c r="G683" i="1"/>
  <c r="H683" i="1" s="1"/>
  <c r="G763" i="1"/>
  <c r="H763" i="1" s="1"/>
  <c r="G562" i="1"/>
  <c r="H562" i="1" s="1"/>
  <c r="G391" i="1"/>
  <c r="H391" i="1" s="1"/>
  <c r="G384" i="1"/>
  <c r="H384" i="1" s="1"/>
  <c r="G59" i="1"/>
  <c r="H59" i="1" s="1"/>
  <c r="G41" i="1"/>
  <c r="H41" i="1" s="1"/>
  <c r="G409" i="1"/>
  <c r="H409" i="1" s="1"/>
  <c r="G178" i="1"/>
  <c r="H178" i="1" s="1"/>
  <c r="G348" i="1"/>
  <c r="H348" i="1" s="1"/>
  <c r="G659" i="1"/>
  <c r="H659" i="1" s="1"/>
  <c r="G405" i="1"/>
  <c r="H405" i="1" s="1"/>
  <c r="G773" i="1"/>
  <c r="H773" i="1" s="1"/>
  <c r="G3" i="1"/>
  <c r="H3" i="1" s="1"/>
  <c r="G296" i="1"/>
  <c r="H296" i="1" s="1"/>
  <c r="G132" i="1"/>
  <c r="H132" i="1" s="1"/>
  <c r="G402" i="1"/>
  <c r="H402" i="1" s="1"/>
  <c r="G673" i="1"/>
  <c r="H673" i="1" s="1"/>
  <c r="G724" i="1"/>
  <c r="H724" i="1" s="1"/>
  <c r="G164" i="1"/>
  <c r="H164" i="1" s="1"/>
  <c r="G300" i="1"/>
  <c r="H300" i="1" s="1"/>
  <c r="G364" i="1"/>
  <c r="H364" i="1" s="1"/>
  <c r="G566" i="1"/>
  <c r="H566" i="1" s="1"/>
  <c r="G979" i="1"/>
  <c r="H979" i="1" s="1"/>
  <c r="G530" i="1"/>
  <c r="H530" i="1" s="1"/>
  <c r="G711" i="1"/>
  <c r="H711" i="1" s="1"/>
  <c r="G467" i="1"/>
  <c r="H467" i="1" s="1"/>
  <c r="G396" i="1"/>
  <c r="H396" i="1" s="1"/>
  <c r="G770" i="1"/>
  <c r="H770" i="1" s="1"/>
  <c r="G457" i="1"/>
  <c r="H457" i="1" s="1"/>
  <c r="G945" i="1"/>
  <c r="H945" i="1" s="1"/>
  <c r="G606" i="1"/>
  <c r="H606" i="1" s="1"/>
  <c r="G972" i="1"/>
  <c r="H972" i="1" s="1"/>
  <c r="G832" i="1"/>
  <c r="H832" i="1" s="1"/>
  <c r="G744" i="1"/>
  <c r="H744" i="1" s="1"/>
  <c r="G253" i="1"/>
  <c r="H253" i="1" s="1"/>
  <c r="G328" i="1"/>
  <c r="H328" i="1" s="1"/>
  <c r="G331" i="1"/>
  <c r="H331" i="1" s="1"/>
  <c r="G977" i="1"/>
  <c r="H977" i="1" s="1"/>
  <c r="G240" i="1"/>
  <c r="H240" i="1" s="1"/>
  <c r="G597" i="1"/>
  <c r="H597" i="1" s="1"/>
  <c r="G847" i="1"/>
  <c r="H847" i="1" s="1"/>
  <c r="G83" i="1"/>
  <c r="H83" i="1" s="1"/>
  <c r="G183" i="1"/>
  <c r="H183" i="1" s="1"/>
  <c r="G159" i="1"/>
  <c r="H159" i="1" s="1"/>
  <c r="G726" i="1"/>
  <c r="H726" i="1" s="1"/>
  <c r="G284" i="1"/>
  <c r="H284" i="1" s="1"/>
  <c r="G602" i="1"/>
  <c r="H602" i="1" s="1"/>
  <c r="G592" i="1"/>
  <c r="H592" i="1" s="1"/>
  <c r="G85" i="1"/>
  <c r="H85" i="1" s="1"/>
  <c r="G435" i="1"/>
  <c r="H435" i="1" s="1"/>
  <c r="G848" i="1"/>
  <c r="H848" i="1" s="1"/>
  <c r="G856" i="1"/>
  <c r="H856" i="1" s="1"/>
  <c r="G51" i="1"/>
  <c r="H51" i="1" s="1"/>
  <c r="G448" i="1"/>
  <c r="H448" i="1" s="1"/>
  <c r="G166" i="1"/>
  <c r="H166" i="1" s="1"/>
  <c r="G835" i="1"/>
  <c r="H835" i="1" s="1"/>
  <c r="G717" i="1"/>
  <c r="H717" i="1" s="1"/>
  <c r="G679" i="1"/>
  <c r="H679" i="1" s="1"/>
  <c r="G126" i="1"/>
  <c r="H126" i="1" s="1"/>
  <c r="G86" i="1"/>
  <c r="H86" i="1" s="1"/>
  <c r="G311" i="1"/>
  <c r="H311" i="1" s="1"/>
  <c r="G769" i="1"/>
  <c r="H769" i="1" s="1"/>
  <c r="G439" i="1"/>
  <c r="H439" i="1" s="1"/>
  <c r="G873" i="1"/>
  <c r="H873" i="1" s="1"/>
  <c r="G235" i="1"/>
  <c r="H235" i="1" s="1"/>
  <c r="G804" i="1"/>
  <c r="H804" i="1" s="1"/>
  <c r="G700" i="1"/>
  <c r="H700" i="1" s="1"/>
  <c r="G962" i="1"/>
  <c r="H962" i="1" s="1"/>
  <c r="G781" i="1"/>
  <c r="H781" i="1" s="1"/>
  <c r="G590" i="1"/>
  <c r="H590" i="1" s="1"/>
  <c r="G743" i="1"/>
  <c r="H743" i="1" s="1"/>
  <c r="G988" i="1"/>
  <c r="H988" i="1" s="1"/>
  <c r="G480" i="1"/>
  <c r="H480" i="1" s="1"/>
  <c r="G609" i="1"/>
  <c r="H609" i="1" s="1"/>
  <c r="G776" i="1"/>
  <c r="H776" i="1" s="1"/>
  <c r="G614" i="1"/>
  <c r="H614" i="1" s="1"/>
  <c r="G913" i="1"/>
  <c r="H913" i="1" s="1"/>
  <c r="G238" i="1"/>
  <c r="H238" i="1" s="1"/>
  <c r="G493" i="1"/>
  <c r="H493" i="1" s="1"/>
  <c r="G981" i="1"/>
  <c r="H981" i="1" s="1"/>
  <c r="G42" i="1"/>
  <c r="H42" i="1" s="1"/>
  <c r="G128" i="1"/>
  <c r="H128" i="1" s="1"/>
  <c r="G709" i="1"/>
  <c r="H709" i="1" s="1"/>
  <c r="G756" i="1"/>
  <c r="H756" i="1" s="1"/>
  <c r="G556" i="1"/>
  <c r="H556" i="1" s="1"/>
  <c r="G149" i="1"/>
  <c r="H149" i="1" s="1"/>
  <c r="G410" i="1"/>
  <c r="H410" i="1" s="1"/>
  <c r="G970" i="1"/>
  <c r="H970" i="1" s="1"/>
  <c r="G546" i="1"/>
  <c r="H546" i="1" s="1"/>
  <c r="G50" i="1"/>
  <c r="H50" i="1" s="1"/>
  <c r="G150" i="1"/>
  <c r="H150" i="1" s="1"/>
  <c r="G734" i="1"/>
  <c r="H734" i="1" s="1"/>
  <c r="G285" i="1"/>
  <c r="H285" i="1" s="1"/>
  <c r="G66" i="1"/>
  <c r="H66" i="1" s="1"/>
  <c r="G840" i="1"/>
  <c r="H840" i="1" s="1"/>
  <c r="G681" i="1"/>
  <c r="H681" i="1" s="1"/>
  <c r="G806" i="1"/>
  <c r="H806" i="1" s="1"/>
  <c r="G643" i="1"/>
  <c r="H643" i="1" s="1"/>
  <c r="G535" i="1"/>
  <c r="H535" i="1" s="1"/>
  <c r="G205" i="1"/>
  <c r="H205" i="1" s="1"/>
  <c r="G719" i="1"/>
  <c r="H719" i="1" s="1"/>
  <c r="G400" i="1"/>
  <c r="H400" i="1" s="1"/>
  <c r="G69" i="1"/>
  <c r="H69" i="1" s="1"/>
  <c r="G509" i="1"/>
  <c r="H509" i="1" s="1"/>
  <c r="G84" i="1"/>
  <c r="H84" i="1" s="1"/>
  <c r="G301" i="1"/>
  <c r="H301" i="1" s="1"/>
  <c r="G691" i="1"/>
  <c r="H691" i="1" s="1"/>
  <c r="G22" i="1"/>
  <c r="H22" i="1" s="1"/>
  <c r="G636" i="1"/>
  <c r="H636" i="1" s="1"/>
  <c r="G428" i="1"/>
  <c r="H428" i="1" s="1"/>
  <c r="G289" i="1"/>
  <c r="H289" i="1" s="1"/>
  <c r="G270" i="1"/>
  <c r="H270" i="1" s="1"/>
  <c r="G423" i="1"/>
  <c r="H423" i="1" s="1"/>
  <c r="G170" i="1"/>
  <c r="H170" i="1" s="1"/>
  <c r="G13" i="1"/>
  <c r="H13" i="1" s="1"/>
  <c r="G695" i="1"/>
  <c r="H695" i="1" s="1"/>
  <c r="G954" i="1"/>
  <c r="H954" i="1" s="1"/>
  <c r="G876" i="1"/>
  <c r="H876" i="1" s="1"/>
  <c r="G341" i="1"/>
  <c r="H341" i="1" s="1"/>
  <c r="G208" i="1"/>
  <c r="H208" i="1" s="1"/>
  <c r="G907" i="1"/>
  <c r="H907" i="1" s="1"/>
  <c r="G77" i="1"/>
  <c r="H77" i="1" s="1"/>
  <c r="G612" i="1"/>
  <c r="H612" i="1" s="1"/>
  <c r="G31" i="1"/>
  <c r="H31" i="1" s="1"/>
  <c r="G169" i="1"/>
  <c r="H169" i="1" s="1"/>
  <c r="G926" i="1"/>
  <c r="H926" i="1" s="1"/>
  <c r="G307" i="1"/>
  <c r="H307" i="1" s="1"/>
  <c r="G494" i="1"/>
  <c r="H494" i="1" s="1"/>
  <c r="G249" i="1"/>
  <c r="H249" i="1" s="1"/>
  <c r="G415" i="1"/>
  <c r="H415" i="1" s="1"/>
  <c r="G282" i="1"/>
  <c r="H282" i="1" s="1"/>
  <c r="G558" i="1"/>
  <c r="H558" i="1" s="1"/>
  <c r="G795" i="1"/>
  <c r="H795" i="1" s="1"/>
  <c r="G522" i="1"/>
  <c r="H522" i="1" s="1"/>
  <c r="G864" i="1"/>
  <c r="H864" i="1" s="1"/>
  <c r="G885" i="1"/>
  <c r="H885" i="1" s="1"/>
  <c r="G923" i="1"/>
  <c r="H923" i="1" s="1"/>
  <c r="G554" i="1"/>
  <c r="H554" i="1" s="1"/>
  <c r="G96" i="1"/>
  <c r="H96" i="1" s="1"/>
  <c r="G44" i="1"/>
  <c r="H44" i="1" s="1"/>
  <c r="G980" i="1"/>
  <c r="H980" i="1" s="1"/>
  <c r="G660" i="1"/>
  <c r="H660" i="1" s="1"/>
  <c r="G594" i="1"/>
  <c r="H594" i="1" s="1"/>
  <c r="G914" i="1"/>
  <c r="H914" i="1" s="1"/>
  <c r="G718" i="1"/>
  <c r="H718" i="1" s="1"/>
  <c r="G638" i="1"/>
  <c r="H638" i="1" s="1"/>
  <c r="G674" i="1"/>
  <c r="H674" i="1" s="1"/>
  <c r="G526" i="1"/>
  <c r="H526" i="1" s="1"/>
  <c r="G124" i="1"/>
  <c r="H124" i="1" s="1"/>
  <c r="G805" i="1"/>
  <c r="H805" i="1" s="1"/>
  <c r="G821" i="1"/>
  <c r="H821" i="1" s="1"/>
  <c r="G849" i="1"/>
  <c r="H849" i="1" s="1"/>
  <c r="G197" i="1"/>
  <c r="H197" i="1" s="1"/>
  <c r="G173" i="1"/>
  <c r="H173" i="1" s="1"/>
  <c r="G356" i="1"/>
  <c r="H356" i="1" s="1"/>
  <c r="G720" i="1"/>
  <c r="H720" i="1" s="1"/>
  <c r="G811" i="1"/>
  <c r="H811" i="1" s="1"/>
  <c r="G482" i="1"/>
  <c r="H482" i="1" s="1"/>
  <c r="G1001" i="1"/>
  <c r="H1001" i="1" s="1"/>
  <c r="G692" i="1"/>
  <c r="H692" i="1" s="1"/>
  <c r="G782" i="1"/>
  <c r="H782" i="1" s="1"/>
  <c r="G344" i="1"/>
  <c r="H344" i="1" s="1"/>
  <c r="G935" i="1"/>
  <c r="H935" i="1" s="1"/>
  <c r="G329" i="1"/>
  <c r="H329" i="1" s="1"/>
  <c r="G834" i="1"/>
  <c r="H834" i="1" s="1"/>
  <c r="G578" i="1"/>
  <c r="H578" i="1" s="1"/>
  <c r="G17" i="1"/>
  <c r="H17" i="1" s="1"/>
  <c r="G680" i="1"/>
  <c r="H680" i="1" s="1"/>
  <c r="G510" i="1"/>
  <c r="H510" i="1" s="1"/>
  <c r="G119" i="1"/>
  <c r="H119" i="1" s="1"/>
  <c r="G346" i="1"/>
  <c r="H346" i="1" s="1"/>
  <c r="G184" i="1"/>
  <c r="H184" i="1" s="1"/>
  <c r="G444" i="1"/>
  <c r="H444" i="1" s="1"/>
  <c r="G294" i="1"/>
  <c r="H294" i="1" s="1"/>
  <c r="G794" i="1"/>
  <c r="H794" i="1" s="1"/>
  <c r="G737" i="1"/>
  <c r="H737" i="1" s="1"/>
  <c r="G234" i="1"/>
  <c r="H234" i="1" s="1"/>
  <c r="G927" i="1"/>
  <c r="H927" i="1" s="1"/>
  <c r="G523" i="1"/>
  <c r="H523" i="1" s="1"/>
  <c r="G634" i="1"/>
  <c r="H634" i="1" s="1"/>
  <c r="G779" i="1"/>
  <c r="H779" i="1" s="1"/>
  <c r="G374" i="1"/>
  <c r="H374" i="1" s="1"/>
  <c r="G336" i="1"/>
  <c r="H336" i="1" s="1"/>
  <c r="G72" i="1"/>
  <c r="H72" i="1" s="1"/>
  <c r="G8" i="1"/>
  <c r="H8" i="1" s="1"/>
  <c r="G468" i="1"/>
  <c r="H468" i="1" s="1"/>
  <c r="G120" i="1"/>
  <c r="H120" i="1" s="1"/>
  <c r="G798" i="1"/>
  <c r="H798" i="1" s="1"/>
  <c r="G145" i="1"/>
  <c r="H145" i="1" s="1"/>
  <c r="G889" i="1"/>
  <c r="H889" i="1" s="1"/>
  <c r="G925" i="1"/>
  <c r="H925" i="1" s="1"/>
  <c r="G917" i="1"/>
  <c r="H917" i="1" s="1"/>
  <c r="G872" i="1"/>
  <c r="H872" i="1" s="1"/>
  <c r="G245" i="1"/>
  <c r="H245" i="1" s="1"/>
  <c r="G866" i="1"/>
  <c r="H866" i="1" s="1"/>
  <c r="G984" i="1"/>
  <c r="H984" i="1" s="1"/>
  <c r="G750" i="1"/>
  <c r="H750" i="1" s="1"/>
  <c r="G464" i="1"/>
  <c r="H464" i="1" s="1"/>
  <c r="G504" i="1"/>
  <c r="H504" i="1" s="1"/>
  <c r="G731" i="1"/>
  <c r="H731" i="1" s="1"/>
  <c r="G771" i="1"/>
  <c r="H771" i="1" s="1"/>
  <c r="G707" i="1"/>
  <c r="H707" i="1" s="1"/>
  <c r="G63" i="1"/>
  <c r="H63" i="1" s="1"/>
  <c r="G721" i="1"/>
  <c r="H721" i="1" s="1"/>
  <c r="G688" i="1"/>
  <c r="H688" i="1" s="1"/>
  <c r="G942" i="1"/>
  <c r="H942" i="1" s="1"/>
  <c r="G422" i="1"/>
  <c r="H422" i="1" s="1"/>
  <c r="G251" i="1"/>
  <c r="H251" i="1" s="1"/>
  <c r="G226" i="1"/>
  <c r="H226" i="1" s="1"/>
  <c r="G171" i="1"/>
  <c r="H171" i="1" s="1"/>
  <c r="G767" i="1"/>
  <c r="H767" i="1" s="1"/>
  <c r="G999" i="1"/>
  <c r="H999" i="1" s="1"/>
  <c r="G381" i="1"/>
  <c r="H381" i="1" s="1"/>
  <c r="G337" i="1"/>
  <c r="H337" i="1" s="1"/>
  <c r="G421" i="1"/>
  <c r="H421" i="1" s="1"/>
  <c r="G267" i="1"/>
  <c r="H267" i="1" s="1"/>
  <c r="G803" i="1"/>
  <c r="H803" i="1" s="1"/>
  <c r="G960" i="1"/>
  <c r="H960" i="1" s="1"/>
  <c r="G615" i="1"/>
  <c r="H615" i="1" s="1"/>
  <c r="G820" i="1"/>
  <c r="H820" i="1" s="1"/>
  <c r="G661" i="1"/>
  <c r="H661" i="1" s="1"/>
  <c r="G863" i="1"/>
  <c r="H863" i="1" s="1"/>
  <c r="G368" i="1"/>
  <c r="H368" i="1" s="1"/>
  <c r="G433" i="1"/>
  <c r="H433" i="1" s="1"/>
  <c r="G968" i="1"/>
  <c r="H968" i="1" s="1"/>
  <c r="G548" i="1"/>
  <c r="H548" i="1" s="1"/>
  <c r="G154" i="1"/>
  <c r="H154" i="1" s="1"/>
  <c r="G793" i="1"/>
  <c r="H793" i="1" s="1"/>
  <c r="G656" i="1"/>
  <c r="H656" i="1" s="1"/>
  <c r="G193" i="1"/>
  <c r="H193" i="1" s="1"/>
  <c r="G323" i="1"/>
  <c r="H323" i="1" s="1"/>
  <c r="G512" i="1"/>
  <c r="H512" i="1" s="1"/>
  <c r="G764" i="1"/>
  <c r="H764" i="1" s="1"/>
  <c r="G162" i="1"/>
  <c r="H162" i="1" s="1"/>
  <c r="G676" i="1"/>
  <c r="H676" i="1" s="1"/>
  <c r="G862" i="1"/>
  <c r="H862" i="1" s="1"/>
  <c r="G217" i="1"/>
  <c r="H217" i="1" s="1"/>
  <c r="G896" i="1"/>
  <c r="H896" i="1" s="1"/>
  <c r="G586" i="1"/>
  <c r="H586" i="1" s="1"/>
  <c r="G694" i="1"/>
  <c r="H694" i="1" s="1"/>
  <c r="G470" i="1"/>
  <c r="H470" i="1" s="1"/>
  <c r="G728" i="1"/>
  <c r="H728" i="1" s="1"/>
  <c r="G815" i="1"/>
  <c r="H815" i="1" s="1"/>
  <c r="G302" i="1"/>
  <c r="H302" i="1" s="1"/>
  <c r="G100" i="1"/>
  <c r="H100" i="1" s="1"/>
  <c r="G369" i="1"/>
  <c r="H369" i="1" s="1"/>
  <c r="G445" i="1"/>
  <c r="H445" i="1" s="1"/>
  <c r="G812" i="1"/>
  <c r="H812" i="1" s="1"/>
  <c r="G742" i="1"/>
  <c r="H742" i="1" s="1"/>
  <c r="G635" i="1"/>
  <c r="H635" i="1" s="1"/>
  <c r="G250" i="1"/>
  <c r="H250" i="1" s="1"/>
  <c r="G930" i="1"/>
  <c r="H930" i="1" s="1"/>
  <c r="G6" i="1"/>
  <c r="H6" i="1" s="1"/>
  <c r="G101" i="1"/>
  <c r="H101" i="1" s="1"/>
  <c r="G313" i="1"/>
  <c r="H313" i="1" s="1"/>
  <c r="G521" i="1"/>
  <c r="H521" i="1" s="1"/>
  <c r="G188" i="1"/>
  <c r="H188" i="1" s="1"/>
  <c r="G247" i="1"/>
  <c r="H247" i="1" s="1"/>
  <c r="G46" i="1"/>
  <c r="H46" i="1" s="1"/>
  <c r="G199" i="1"/>
  <c r="H199" i="1" s="1"/>
  <c r="G882" i="1"/>
  <c r="H882" i="1" s="1"/>
  <c r="G371" i="1"/>
  <c r="H371" i="1" s="1"/>
  <c r="G103" i="1"/>
  <c r="H103" i="1" s="1"/>
  <c r="G221" i="1"/>
  <c r="H221" i="1" s="1"/>
  <c r="G191" i="1"/>
  <c r="H191" i="1" s="1"/>
  <c r="G686" i="1"/>
  <c r="H686" i="1" s="1"/>
  <c r="G965" i="1"/>
  <c r="H965" i="1" s="1"/>
  <c r="G407" i="1"/>
  <c r="H407" i="1" s="1"/>
  <c r="G894" i="1"/>
  <c r="H894" i="1" s="1"/>
  <c r="G524" i="1"/>
  <c r="H524" i="1" s="1"/>
  <c r="G176" i="1"/>
  <c r="H176" i="1" s="1"/>
  <c r="G749" i="1"/>
  <c r="H749" i="1" s="1"/>
  <c r="G378" i="1"/>
  <c r="H378" i="1" s="1"/>
  <c r="G515" i="1"/>
  <c r="H515" i="1" s="1"/>
  <c r="G182" i="1"/>
  <c r="H182" i="1" s="1"/>
  <c r="G997" i="1"/>
  <c r="H997" i="1" s="1"/>
  <c r="G372" i="1"/>
  <c r="H372" i="1" s="1"/>
  <c r="G937" i="1"/>
  <c r="H937" i="1" s="1"/>
  <c r="G47" i="1"/>
  <c r="H47" i="1" s="1"/>
  <c r="G478" i="1"/>
  <c r="H478" i="1" s="1"/>
  <c r="G432" i="1"/>
  <c r="H432" i="1" s="1"/>
  <c r="G455" i="1"/>
  <c r="H455" i="1" s="1"/>
  <c r="G665" i="1"/>
  <c r="H665" i="1" s="1"/>
  <c r="G998" i="1"/>
  <c r="H998" i="1" s="1"/>
  <c r="G298" i="1"/>
  <c r="H298" i="1" s="1"/>
  <c r="G778" i="1"/>
  <c r="H778" i="1" s="1"/>
  <c r="G5" i="1"/>
  <c r="H5" i="1" s="1"/>
  <c r="G748" i="1"/>
  <c r="H748" i="1" s="1"/>
  <c r="G983" i="1"/>
  <c r="H983" i="1" s="1"/>
  <c r="G194" i="1"/>
  <c r="H194" i="1" s="1"/>
  <c r="G678" i="1"/>
  <c r="H678" i="1" s="1"/>
  <c r="G637" i="1"/>
  <c r="H637" i="1" s="1"/>
  <c r="G702" i="1"/>
  <c r="H702" i="1" s="1"/>
  <c r="G581" i="1"/>
  <c r="H581" i="1" s="1"/>
  <c r="G836" i="1"/>
  <c r="H836" i="1" s="1"/>
  <c r="G758" i="1"/>
  <c r="H758" i="1" s="1"/>
  <c r="G352" i="1"/>
  <c r="H352" i="1" s="1"/>
  <c r="G281" i="1"/>
  <c r="H281" i="1" s="1"/>
  <c r="G437" i="1"/>
  <c r="H437" i="1" s="1"/>
  <c r="G759" i="1"/>
  <c r="H759" i="1" s="1"/>
  <c r="G29" i="1"/>
  <c r="H29" i="1" s="1"/>
  <c r="G40" i="1"/>
  <c r="H40" i="1" s="1"/>
  <c r="G560" i="1"/>
  <c r="H560" i="1" s="1"/>
  <c r="G898" i="1"/>
  <c r="H898" i="1" s="1"/>
  <c r="G716" i="1"/>
  <c r="H716" i="1" s="1"/>
  <c r="G534" i="1"/>
  <c r="H534" i="1" s="1"/>
  <c r="G822" i="1"/>
  <c r="H822" i="1" s="1"/>
  <c r="G641" i="1"/>
  <c r="H641" i="1" s="1"/>
  <c r="G777" i="1"/>
  <c r="H777" i="1" s="1"/>
  <c r="G833" i="1"/>
  <c r="H833" i="1" s="1"/>
  <c r="G547" i="1"/>
  <c r="H547" i="1" s="1"/>
  <c r="G355" i="1"/>
  <c r="H355" i="1" s="1"/>
  <c r="G797" i="1"/>
  <c r="H797" i="1" s="1"/>
  <c r="G62" i="1"/>
  <c r="H62" i="1" s="1"/>
  <c r="G741" i="1"/>
  <c r="H741" i="1" s="1"/>
  <c r="G231" i="1"/>
  <c r="H231" i="1" s="1"/>
  <c r="G810" i="1"/>
  <c r="H810" i="1" s="1"/>
  <c r="G181" i="1"/>
  <c r="H181" i="1" s="1"/>
  <c r="G304" i="1"/>
  <c r="H304" i="1" s="1"/>
  <c r="G647" i="1"/>
  <c r="H647" i="1" s="1"/>
  <c r="G788" i="1"/>
  <c r="H788" i="1" s="1"/>
  <c r="G167" i="1"/>
  <c r="H167" i="1" s="1"/>
  <c r="G288" i="1"/>
  <c r="H288" i="1" s="1"/>
  <c r="G886" i="1"/>
  <c r="H886" i="1" s="1"/>
  <c r="G525" i="1"/>
  <c r="H525" i="1" s="1"/>
  <c r="G955" i="1"/>
  <c r="H955" i="1" s="1"/>
  <c r="G37" i="1"/>
  <c r="H37" i="1" s="1"/>
  <c r="G497" i="1"/>
  <c r="H497" i="1" s="1"/>
  <c r="G404" i="1"/>
  <c r="H404" i="1" s="1"/>
  <c r="G185" i="1"/>
  <c r="H185" i="1" s="1"/>
  <c r="G343" i="1"/>
  <c r="H343" i="1" s="1"/>
  <c r="G241" i="1"/>
  <c r="H241" i="1" s="1"/>
  <c r="G115" i="1"/>
  <c r="H115" i="1" s="1"/>
  <c r="G276" i="1"/>
  <c r="H276" i="1" s="1"/>
  <c r="G583" i="1"/>
  <c r="H583" i="1" s="1"/>
  <c r="G408" i="1"/>
  <c r="H408" i="1" s="1"/>
  <c r="G213" i="1"/>
  <c r="H213" i="1" s="1"/>
  <c r="G127" i="1"/>
  <c r="H127" i="1" s="1"/>
  <c r="G940" i="1"/>
  <c r="H940" i="1" s="1"/>
  <c r="G261" i="1"/>
  <c r="H261" i="1" s="1"/>
  <c r="G610" i="1"/>
  <c r="H610" i="1"/>
  <c r="G153" i="1"/>
  <c r="H153" i="1" s="1"/>
  <c r="G715" i="1"/>
  <c r="H715" i="1" s="1"/>
  <c r="G60" i="1"/>
  <c r="H60" i="1" s="1"/>
  <c r="G608" i="1"/>
  <c r="H608" i="1" s="1"/>
  <c r="G601" i="1"/>
  <c r="H601" i="1" s="1"/>
  <c r="G669" i="1"/>
  <c r="H669" i="1"/>
  <c r="G107" i="1"/>
  <c r="H107" i="1" s="1"/>
  <c r="G35" i="1"/>
  <c r="H35" i="1" s="1"/>
  <c r="G25" i="1"/>
  <c r="H25" i="1" s="1"/>
  <c r="G934" i="1"/>
  <c r="H934" i="1" s="1"/>
  <c r="G628" i="1"/>
  <c r="H628" i="1" s="1"/>
  <c r="G496" i="1"/>
  <c r="H496" i="1"/>
  <c r="G787" i="1"/>
  <c r="H787" i="1" s="1"/>
  <c r="G367" i="1"/>
  <c r="H367" i="1" s="1"/>
  <c r="G363" i="1"/>
  <c r="H363" i="1" s="1"/>
  <c r="G607" i="1"/>
  <c r="H607" i="1" s="1"/>
  <c r="G948" i="1"/>
  <c r="H948" i="1" s="1"/>
  <c r="G684" i="1"/>
  <c r="H684" i="1" s="1"/>
  <c r="G411" i="1"/>
  <c r="H411" i="1" s="1"/>
  <c r="G135" i="1"/>
  <c r="H135" i="1" s="1"/>
  <c r="G654" i="1"/>
  <c r="H654" i="1" s="1"/>
  <c r="G871" i="1"/>
  <c r="H871" i="1" s="1"/>
  <c r="G125" i="1"/>
  <c r="H125" i="1" s="1"/>
  <c r="G516" i="1"/>
  <c r="H516" i="1" s="1"/>
  <c r="G88" i="1"/>
  <c r="H88" i="1" s="1"/>
  <c r="G109" i="1"/>
  <c r="H109" i="1" s="1"/>
  <c r="G949" i="1"/>
  <c r="H949" i="1" s="1"/>
  <c r="G389" i="1"/>
  <c r="H389" i="1" s="1"/>
  <c r="G514" i="1"/>
  <c r="H514" i="1" s="1"/>
  <c r="G254" i="1"/>
  <c r="H254" i="1" s="1"/>
  <c r="G892" i="1"/>
  <c r="H892" i="1" s="1"/>
  <c r="G617" i="1"/>
  <c r="H617" i="1" s="1"/>
  <c r="G570" i="1"/>
  <c r="H570" i="1" s="1"/>
  <c r="G469" i="1"/>
  <c r="H469" i="1" s="1"/>
  <c r="G21" i="1"/>
  <c r="H21" i="1" s="1"/>
  <c r="G179" i="1"/>
  <c r="H179" i="1" s="1"/>
  <c r="G33" i="1"/>
  <c r="H33" i="1" s="1"/>
  <c r="G15" i="1"/>
  <c r="H15" i="1" s="1"/>
  <c r="G429" i="1"/>
  <c r="H429" i="1" s="1"/>
  <c r="G45" i="1"/>
  <c r="H45" i="1" s="1"/>
  <c r="G994" i="1"/>
  <c r="H994" i="1" s="1"/>
  <c r="G144" i="1"/>
  <c r="H144" i="1" s="1"/>
  <c r="G256" i="1"/>
  <c r="H256" i="1" s="1"/>
  <c r="G551" i="1"/>
  <c r="H551" i="1" s="1"/>
  <c r="G105" i="1"/>
  <c r="H105" i="1" s="1"/>
  <c r="G890" i="1"/>
  <c r="H890" i="1" s="1"/>
  <c r="G572" i="1"/>
  <c r="H572" i="1" s="1"/>
  <c r="G644" i="1"/>
  <c r="H644" i="1" s="1"/>
  <c r="G58" i="1"/>
  <c r="H58" i="1" s="1"/>
  <c r="G379" i="1"/>
  <c r="H379" i="1" s="1"/>
  <c r="G262" i="1"/>
  <c r="H262" i="1" s="1"/>
  <c r="G175" i="1"/>
  <c r="H175" i="1" s="1"/>
  <c r="G230" i="1"/>
  <c r="H230" i="1" s="1"/>
  <c r="G212" i="1"/>
  <c r="H212" i="1" s="1"/>
  <c r="G938" i="1"/>
  <c r="H938" i="1" s="1"/>
  <c r="G569" i="1"/>
  <c r="H569" i="1" s="1"/>
  <c r="G939" i="1"/>
  <c r="H939" i="1" s="1"/>
  <c r="G317" i="1"/>
  <c r="H317" i="1" s="1"/>
  <c r="G74" i="1"/>
  <c r="H74" i="1" s="1"/>
  <c r="G4" i="1"/>
  <c r="H4" i="1" s="1"/>
  <c r="G177" i="1"/>
  <c r="H177" i="1" s="1"/>
  <c r="G746" i="1"/>
  <c r="H746" i="1" s="1"/>
  <c r="G790" i="1"/>
  <c r="H790" i="1" s="1"/>
  <c r="G324" i="1"/>
  <c r="H324" i="1" s="1"/>
  <c r="G819" i="1"/>
  <c r="H819" i="1" s="1"/>
  <c r="G104" i="1"/>
  <c r="H104" i="1" s="1"/>
  <c r="G108" i="1"/>
  <c r="H108" i="1" s="1"/>
  <c r="G78" i="1"/>
  <c r="H78" i="1" s="1"/>
  <c r="G10" i="1"/>
  <c r="H10" i="1" s="1"/>
  <c r="G723" i="1"/>
  <c r="H723" i="1" s="1"/>
  <c r="G450" i="1"/>
  <c r="H450" i="1" s="1"/>
  <c r="G735" i="1"/>
  <c r="H735" i="1" s="1"/>
  <c r="G102" i="1"/>
  <c r="H102" i="1" s="1"/>
  <c r="G161" i="1"/>
  <c r="H161" i="1" s="1"/>
  <c r="G57" i="1"/>
  <c r="H57" i="1" s="1"/>
  <c r="G704" i="1"/>
  <c r="H704" i="1" s="1"/>
  <c r="G187" i="1"/>
  <c r="H187" i="1" s="1"/>
  <c r="G682" i="1"/>
  <c r="H682" i="1" s="1"/>
  <c r="G99" i="1"/>
  <c r="H99" i="1" s="1"/>
  <c r="G460" i="1"/>
  <c r="H460" i="1" s="1"/>
  <c r="G141" i="1"/>
  <c r="H141" i="1" s="1"/>
  <c r="G762" i="1"/>
  <c r="H762" i="1" s="1"/>
  <c r="G362" i="1"/>
  <c r="H362" i="1" s="1"/>
  <c r="G529" i="1"/>
  <c r="H529" i="1" s="1"/>
  <c r="G897" i="1"/>
  <c r="H897" i="1" s="1"/>
  <c r="G844" i="1"/>
  <c r="H844" i="1" s="1"/>
  <c r="G800" i="1"/>
  <c r="H800" i="1" s="1"/>
  <c r="G630" i="1"/>
  <c r="H630" i="1" s="1"/>
  <c r="G70" i="1"/>
  <c r="H70" i="1" s="1"/>
  <c r="G754" i="1"/>
  <c r="H754" i="1" s="1"/>
  <c r="G97" i="1"/>
  <c r="H97" i="1" s="1"/>
  <c r="G136" i="1"/>
  <c r="H136" i="1" s="1"/>
  <c r="G325" i="1"/>
  <c r="H325" i="1" s="1"/>
  <c r="G287" i="1"/>
  <c r="H287" i="1" s="1"/>
  <c r="G908" i="1"/>
  <c r="H908" i="1" s="1"/>
  <c r="G838" i="1"/>
  <c r="H838" i="1" s="1"/>
  <c r="G295" i="1"/>
  <c r="H295" i="1" s="1"/>
  <c r="G996" i="1"/>
  <c r="H996" i="1" s="1"/>
  <c r="G969" i="1"/>
  <c r="H969" i="1" s="1"/>
  <c r="G122" i="1"/>
  <c r="H122" i="1" s="1"/>
  <c r="G710" i="1"/>
  <c r="H710" i="1" s="1"/>
  <c r="G947" i="1"/>
  <c r="H947" i="1" s="1"/>
  <c r="G705" i="1"/>
  <c r="H705" i="1" s="1"/>
  <c r="G901" i="1"/>
  <c r="H901" i="1" s="1"/>
  <c r="G338" i="1"/>
  <c r="H338" i="1" s="1"/>
  <c r="G706" i="1"/>
  <c r="H706" i="1" s="1"/>
  <c r="G327" i="1"/>
  <c r="H327" i="1" s="1"/>
  <c r="G366" i="1"/>
  <c r="H366" i="1" s="1"/>
  <c r="G670" i="1"/>
  <c r="H670" i="1" s="1"/>
  <c r="G357" i="1"/>
  <c r="H357" i="1" s="1"/>
  <c r="G786" i="1"/>
  <c r="H786" i="1" s="1"/>
  <c r="G263" i="1"/>
  <c r="H263" i="1" s="1"/>
  <c r="G121" i="1"/>
  <c r="H121" i="1" s="1"/>
  <c r="G830" i="1"/>
  <c r="H830" i="1" s="1"/>
  <c r="G858" i="1"/>
  <c r="H858" i="1" s="1"/>
  <c r="G959" i="1"/>
  <c r="H959" i="1" s="1"/>
  <c r="G537" i="1"/>
  <c r="H537" i="1" s="1"/>
  <c r="G23" i="1"/>
  <c r="H23" i="1" s="1"/>
  <c r="G216" i="1"/>
  <c r="H216" i="1" s="1"/>
  <c r="G486" i="1"/>
  <c r="H486" i="1" s="1"/>
  <c r="G916" i="1"/>
  <c r="H916" i="1" s="1"/>
  <c r="G61" i="1"/>
  <c r="H61" i="1" s="1"/>
  <c r="G297" i="1"/>
  <c r="H297" i="1" s="1"/>
  <c r="G462" i="1"/>
  <c r="H462" i="1" s="1"/>
  <c r="G792" i="1"/>
  <c r="H792" i="1" s="1"/>
  <c r="G982" i="1"/>
  <c r="H982" i="1" s="1"/>
  <c r="G577" i="1"/>
  <c r="H577" i="1" s="1"/>
  <c r="G854" i="1"/>
  <c r="H854" i="1" s="1"/>
  <c r="G190" i="1"/>
  <c r="H190" i="1" s="1"/>
  <c r="G751" i="1"/>
  <c r="H751" i="1" s="1"/>
  <c r="G667" i="1"/>
  <c r="H667" i="1" s="1"/>
  <c r="G956" i="1"/>
  <c r="H956" i="1" s="1"/>
  <c r="G475" i="1"/>
  <c r="H475" i="1" s="1"/>
  <c r="G80" i="1"/>
  <c r="H80" i="1" s="1"/>
  <c r="G826" i="1"/>
  <c r="H826" i="1" s="1"/>
  <c r="G924" i="1"/>
  <c r="H924" i="1" s="1"/>
  <c r="G65" i="1"/>
  <c r="H65" i="1" s="1"/>
  <c r="G359" i="1"/>
  <c r="H359" i="1" s="1"/>
  <c r="G967" i="1"/>
  <c r="H967" i="1" s="1"/>
  <c r="G413" i="1"/>
  <c r="H413" i="1" s="1"/>
  <c r="G447" i="1"/>
  <c r="H447" i="1" s="1"/>
  <c r="G568" i="1"/>
  <c r="H568" i="1" s="1"/>
  <c r="G877" i="1"/>
  <c r="H877" i="1" s="1"/>
  <c r="G971" i="1"/>
  <c r="H971" i="1" s="1"/>
  <c r="G740" i="1"/>
  <c r="H740" i="1" s="1"/>
  <c r="G388" i="1"/>
  <c r="H388" i="1" s="1"/>
  <c r="G95" i="1"/>
  <c r="H95" i="1" s="1"/>
  <c r="G349" i="1"/>
  <c r="H349" i="1" s="1"/>
  <c r="G846" i="1"/>
  <c r="H846" i="1" s="1"/>
  <c r="G708" i="1"/>
  <c r="H708" i="1" s="1"/>
  <c r="G883" i="1"/>
  <c r="H883" i="1" s="1"/>
  <c r="G426" i="1"/>
  <c r="H426" i="1" s="1"/>
  <c r="G454" i="1"/>
  <c r="H454" i="1" s="1"/>
  <c r="G361" i="1"/>
  <c r="H361" i="1" s="1"/>
  <c r="G152" i="1"/>
  <c r="H152" i="1" s="1"/>
  <c r="G860" i="1"/>
  <c r="H860" i="1" s="1"/>
  <c r="G39" i="1"/>
  <c r="H39" i="1" s="1"/>
  <c r="G543" i="1"/>
  <c r="H543" i="1" s="1"/>
  <c r="G354" i="1"/>
  <c r="H354" i="1" s="1"/>
  <c r="G56" i="1"/>
  <c r="H56" i="1" s="1"/>
  <c r="G340" i="1"/>
  <c r="H340" i="1" s="1"/>
  <c r="G564" i="1"/>
  <c r="H564" i="1" s="1"/>
  <c r="G621" i="1"/>
  <c r="H621" i="1" s="1"/>
  <c r="G38" i="1"/>
  <c r="H38" i="1" s="1"/>
  <c r="G747" i="1"/>
  <c r="H747" i="1" s="1"/>
  <c r="G198" i="1"/>
  <c r="H198" i="1" s="1"/>
  <c r="G333" i="1"/>
  <c r="H333" i="1" s="1"/>
  <c r="G922" i="1"/>
  <c r="H922" i="1" s="1"/>
  <c r="G463" i="1"/>
  <c r="H463" i="1" s="1"/>
  <c r="G110" i="1"/>
  <c r="H110" i="1" s="1"/>
  <c r="G277" i="1"/>
  <c r="H277" i="1" s="1"/>
  <c r="G499" i="1"/>
  <c r="H499" i="1" s="1"/>
  <c r="G500" i="1"/>
  <c r="H500" i="1" s="1"/>
  <c r="G456" i="1"/>
  <c r="H456" i="1" s="1"/>
  <c r="G229" i="1"/>
  <c r="H229" i="1" s="1"/>
  <c r="G953" i="1"/>
  <c r="H953" i="1" s="1"/>
  <c r="G274" i="1"/>
  <c r="H274" i="1"/>
  <c r="G584" i="1"/>
  <c r="H584" i="1" s="1"/>
  <c r="G232" i="1"/>
  <c r="H232" i="1" s="1"/>
  <c r="G505" i="1"/>
  <c r="H505" i="1" s="1"/>
  <c r="G54" i="1"/>
  <c r="H54" i="1" s="1"/>
  <c r="G837" i="1"/>
  <c r="H837" i="1" s="1"/>
  <c r="G76" i="1"/>
  <c r="H76" i="1" s="1"/>
  <c r="G55" i="1"/>
  <c r="H55" i="1" s="1"/>
  <c r="G30" i="1"/>
  <c r="H30" i="1" s="1"/>
  <c r="G484" i="1"/>
  <c r="H484" i="1" s="1"/>
  <c r="G533" i="1"/>
  <c r="H533" i="1" s="1"/>
  <c r="G283" i="1"/>
  <c r="H283" i="1" s="1"/>
  <c r="G513" i="1"/>
  <c r="H513" i="1" s="1"/>
  <c r="G239" i="1"/>
  <c r="H239" i="1" s="1"/>
  <c r="G321" i="1"/>
  <c r="H321" i="1" s="1"/>
  <c r="G910" i="1"/>
  <c r="H910" i="1" s="1"/>
  <c r="G461" i="1"/>
  <c r="H461" i="1" s="1"/>
  <c r="G68" i="1"/>
  <c r="H68" i="1" s="1"/>
  <c r="G874" i="1"/>
  <c r="H874" i="1" s="1"/>
  <c r="G870" i="1"/>
  <c r="H870" i="1" s="1"/>
  <c r="G888" i="1"/>
  <c r="H888" i="1" s="1"/>
  <c r="G784" i="1"/>
  <c r="H784" i="1" s="1"/>
  <c r="G358" i="1"/>
  <c r="H358" i="1" s="1"/>
  <c r="G489" i="1"/>
  <c r="H489" i="1"/>
  <c r="G490" i="1"/>
  <c r="H490" i="1" s="1"/>
  <c r="G244" i="1"/>
  <c r="H244" i="1" s="1"/>
  <c r="G857" i="1"/>
  <c r="H857" i="1" s="1"/>
  <c r="G640" i="1"/>
  <c r="H640" i="1" s="1"/>
  <c r="G585" i="1"/>
  <c r="H585" i="1" s="1"/>
  <c r="G365" i="1"/>
  <c r="H365" i="1" s="1"/>
  <c r="G760" i="1"/>
  <c r="H760" i="1" s="1"/>
  <c r="G831" i="1"/>
  <c r="H831" i="1" s="1"/>
  <c r="G264" i="1"/>
  <c r="H264" i="1" s="1"/>
  <c r="G974" i="1"/>
  <c r="H974" i="1" s="1"/>
  <c r="G668" i="1"/>
  <c r="H668" i="1" s="1"/>
  <c r="G698" i="1"/>
  <c r="H698" i="1" s="1"/>
  <c r="J276" i="1" l="1"/>
  <c r="L276" i="1" s="1"/>
  <c r="J97" i="1"/>
  <c r="L97" i="1" s="1"/>
  <c r="J667" i="1"/>
  <c r="L667" i="1" s="1"/>
  <c r="J962" i="1"/>
  <c r="L962" i="1" s="1"/>
  <c r="J323" i="1"/>
  <c r="L323" i="1" s="1"/>
  <c r="J455" i="1"/>
  <c r="L455" i="1" s="1"/>
  <c r="J936" i="1"/>
  <c r="L936" i="1" s="1"/>
  <c r="J684" i="1"/>
  <c r="L684" i="1" s="1"/>
  <c r="J778" i="1"/>
  <c r="L778" i="1" s="1"/>
  <c r="J671" i="1"/>
  <c r="L671" i="1" s="1"/>
  <c r="J863" i="1"/>
  <c r="L863" i="1" s="1"/>
  <c r="J903" i="1"/>
  <c r="L903" i="1" s="1"/>
  <c r="J482" i="1"/>
  <c r="L482" i="1" s="1"/>
  <c r="J953" i="1"/>
  <c r="L953" i="1" s="1"/>
  <c r="J92" i="1"/>
  <c r="L92" i="1" s="1"/>
  <c r="J466" i="1"/>
  <c r="L466" i="1" s="1"/>
  <c r="J328" i="1"/>
  <c r="L328" i="1" s="1"/>
  <c r="J19" i="1"/>
  <c r="L19" i="1" s="1"/>
  <c r="J908" i="1"/>
  <c r="L908" i="1" s="1"/>
  <c r="J852" i="1"/>
  <c r="L852" i="1" s="1"/>
  <c r="J29" i="1"/>
  <c r="L29" i="1" s="1"/>
  <c r="J208" i="1"/>
  <c r="L208" i="1" s="1"/>
  <c r="J120" i="1"/>
  <c r="L120" i="1" s="1"/>
  <c r="J826" i="1"/>
  <c r="L826" i="1" s="1"/>
  <c r="J786" i="1"/>
  <c r="L786" i="1" s="1"/>
  <c r="J99" i="1"/>
  <c r="L99" i="1" s="1"/>
  <c r="J49" i="1"/>
  <c r="L49" i="1" s="1"/>
  <c r="J577" i="1"/>
  <c r="L577" i="1" s="1"/>
  <c r="J888" i="1"/>
  <c r="L888" i="1" s="1"/>
  <c r="J640" i="1"/>
  <c r="L640" i="1" s="1"/>
  <c r="J854" i="1"/>
  <c r="L854" i="1" s="1"/>
  <c r="J486" i="1"/>
  <c r="L486" i="1" s="1"/>
  <c r="J838" i="1"/>
  <c r="L838" i="1" s="1"/>
  <c r="J343" i="1"/>
  <c r="L343" i="1" s="1"/>
  <c r="J927" i="1"/>
  <c r="L927" i="1" s="1"/>
  <c r="J981" i="1"/>
  <c r="L981" i="1" s="1"/>
  <c r="J385" i="1"/>
  <c r="L385" i="1" s="1"/>
  <c r="J823" i="1"/>
  <c r="L823" i="1" s="1"/>
  <c r="J8" i="1"/>
  <c r="L8" i="1" s="1"/>
  <c r="J44" i="1"/>
  <c r="L44" i="1" s="1"/>
  <c r="J905" i="1"/>
  <c r="L905" i="1" s="1"/>
  <c r="J496" i="1"/>
  <c r="L496" i="1" s="1"/>
  <c r="J601" i="1"/>
  <c r="L601" i="1" s="1"/>
  <c r="J115" i="1"/>
  <c r="L115" i="1" s="1"/>
  <c r="J833" i="1"/>
  <c r="L833" i="1" s="1"/>
  <c r="J64" i="1"/>
  <c r="L64" i="1" s="1"/>
  <c r="J102" i="1"/>
  <c r="L102" i="1" s="1"/>
  <c r="J515" i="1"/>
  <c r="L515" i="1" s="1"/>
  <c r="J686" i="1"/>
  <c r="L686" i="1" s="1"/>
  <c r="J381" i="1"/>
  <c r="L381" i="1" s="1"/>
  <c r="J52" i="1"/>
  <c r="L52" i="1" s="1"/>
  <c r="J244" i="1"/>
  <c r="L244" i="1" s="1"/>
  <c r="J526" i="1"/>
  <c r="L526" i="1" s="1"/>
  <c r="J843" i="1"/>
  <c r="L843" i="1" s="1"/>
  <c r="J289" i="1"/>
  <c r="L289" i="1" s="1"/>
  <c r="J234" i="1"/>
  <c r="L234" i="1" s="1"/>
  <c r="J407" i="1"/>
  <c r="L407" i="1" s="1"/>
  <c r="J422" i="1"/>
  <c r="L422" i="1" s="1"/>
  <c r="J965" i="1"/>
  <c r="L965" i="1" s="1"/>
  <c r="J402" i="1"/>
  <c r="L402" i="1" s="1"/>
  <c r="J630" i="1"/>
  <c r="L630" i="1" s="1"/>
  <c r="J886" i="1"/>
  <c r="L886" i="1" s="1"/>
  <c r="J394" i="1"/>
  <c r="L394" i="1" s="1"/>
  <c r="J223" i="1"/>
  <c r="L223" i="1" s="1"/>
  <c r="J978" i="1"/>
  <c r="L978" i="1" s="1"/>
  <c r="J563" i="1"/>
  <c r="L563" i="1" s="1"/>
  <c r="J504" i="1"/>
  <c r="L504" i="1" s="1"/>
  <c r="J182" i="1"/>
  <c r="L182" i="1" s="1"/>
  <c r="J90" i="1"/>
  <c r="L90" i="1" s="1"/>
  <c r="J457" i="1"/>
  <c r="L457" i="1" s="1"/>
  <c r="J519" i="1"/>
  <c r="L519" i="1" s="1"/>
  <c r="J201" i="1"/>
  <c r="L201" i="1" s="1"/>
  <c r="J337" i="1"/>
  <c r="L337" i="1" s="1"/>
  <c r="J995" i="1"/>
  <c r="L995" i="1" s="1"/>
  <c r="J925" i="1"/>
  <c r="L925" i="1" s="1"/>
  <c r="J122" i="1"/>
  <c r="L122" i="1" s="1"/>
  <c r="J131" i="1"/>
  <c r="L131" i="1" s="1"/>
  <c r="J299" i="1"/>
  <c r="L299" i="1" s="1"/>
  <c r="J470" i="1"/>
  <c r="L470" i="1" s="1"/>
  <c r="J203" i="1"/>
  <c r="L203" i="1" s="1"/>
  <c r="J743" i="1"/>
  <c r="L743" i="1" s="1"/>
  <c r="J707" i="1"/>
  <c r="L707" i="1" s="1"/>
  <c r="J634" i="1"/>
  <c r="L634" i="1" s="1"/>
  <c r="J150" i="1"/>
  <c r="L150" i="1" s="1"/>
  <c r="J756" i="1"/>
  <c r="L756" i="1" s="1"/>
  <c r="J614" i="1"/>
  <c r="L614" i="1" s="1"/>
  <c r="J417" i="1"/>
  <c r="L417" i="1" s="1"/>
  <c r="J690" i="1"/>
  <c r="L690" i="1" s="1"/>
  <c r="J626" i="1"/>
  <c r="L626" i="1" s="1"/>
  <c r="J580" i="1"/>
  <c r="L580" i="1" s="1"/>
  <c r="J271" i="1"/>
  <c r="L271" i="1" s="1"/>
  <c r="J465" i="1"/>
  <c r="L465" i="1" s="1"/>
  <c r="J114" i="1"/>
  <c r="L114" i="1" s="1"/>
  <c r="J579" i="1"/>
  <c r="L579" i="1" s="1"/>
  <c r="J399" i="1"/>
  <c r="L399" i="1" s="1"/>
  <c r="J679" i="1"/>
  <c r="L679" i="1" s="1"/>
  <c r="J300" i="1"/>
  <c r="L300" i="1" s="1"/>
  <c r="J824" i="1"/>
  <c r="L824" i="1" s="1"/>
  <c r="J490" i="1"/>
  <c r="L490" i="1" s="1"/>
  <c r="J641" i="1"/>
  <c r="L641" i="1" s="1"/>
  <c r="J31" i="1"/>
  <c r="L31" i="1" s="1"/>
  <c r="J730" i="1"/>
  <c r="L730" i="1" s="1"/>
  <c r="J264" i="1"/>
  <c r="L264" i="1" s="1"/>
  <c r="J635" i="1"/>
  <c r="L635" i="1" s="1"/>
  <c r="J757" i="1"/>
  <c r="L757" i="1" s="1"/>
  <c r="J499" i="1"/>
  <c r="L499" i="1" s="1"/>
  <c r="J288" i="1"/>
  <c r="L288" i="1" s="1"/>
  <c r="J191" i="1"/>
  <c r="L191" i="1" s="1"/>
  <c r="J464" i="1"/>
  <c r="L464" i="1" s="1"/>
  <c r="J336" i="1"/>
  <c r="L336" i="1" s="1"/>
  <c r="J988" i="1"/>
  <c r="L988" i="1" s="1"/>
  <c r="J584" i="1"/>
  <c r="L584" i="1" s="1"/>
  <c r="J715" i="1"/>
  <c r="L715" i="1" s="1"/>
  <c r="J615" i="1"/>
  <c r="L615" i="1" s="1"/>
  <c r="J197" i="1"/>
  <c r="L197" i="1" s="1"/>
  <c r="J954" i="1"/>
  <c r="L954" i="1" s="1"/>
  <c r="J462" i="1"/>
  <c r="L462" i="1" s="1"/>
  <c r="J136" i="1"/>
  <c r="L136" i="1" s="1"/>
  <c r="J10" i="1"/>
  <c r="L10" i="1" s="1"/>
  <c r="J437" i="1"/>
  <c r="L437" i="1" s="1"/>
  <c r="J794" i="1"/>
  <c r="L794" i="1" s="1"/>
  <c r="J520" i="1"/>
  <c r="L520" i="1" s="1"/>
  <c r="J30" i="1"/>
  <c r="L30" i="1" s="1"/>
  <c r="J153" i="1"/>
  <c r="L153" i="1" s="1"/>
  <c r="J968" i="1"/>
  <c r="L968" i="1" s="1"/>
  <c r="J718" i="1"/>
  <c r="L718" i="1" s="1"/>
  <c r="J835" i="1"/>
  <c r="L835" i="1" s="1"/>
  <c r="J653" i="1"/>
  <c r="L653" i="1" s="1"/>
  <c r="J110" i="1"/>
  <c r="L110" i="1" s="1"/>
  <c r="J297" i="1"/>
  <c r="L297" i="1" s="1"/>
  <c r="J327" i="1"/>
  <c r="L327" i="1" s="1"/>
  <c r="J704" i="1"/>
  <c r="L704" i="1" s="1"/>
  <c r="J534" i="1"/>
  <c r="L534" i="1" s="1"/>
  <c r="J171" i="1"/>
  <c r="L171" i="1" s="1"/>
  <c r="J77" i="1"/>
  <c r="L77" i="1" s="1"/>
  <c r="J205" i="1"/>
  <c r="L205" i="1" s="1"/>
  <c r="J913" i="1"/>
  <c r="L913" i="1" s="1"/>
  <c r="J113" i="1"/>
  <c r="L113" i="1" s="1"/>
  <c r="J75" i="1"/>
  <c r="L75" i="1" s="1"/>
  <c r="J55" i="1"/>
  <c r="L55" i="1" s="1"/>
  <c r="J388" i="1"/>
  <c r="L388" i="1" s="1"/>
  <c r="J4" i="1"/>
  <c r="L4" i="1" s="1"/>
  <c r="J797" i="1"/>
  <c r="L797" i="1" s="1"/>
  <c r="J937" i="1"/>
  <c r="L937" i="1" s="1"/>
  <c r="J445" i="1"/>
  <c r="L445" i="1" s="1"/>
  <c r="J226" i="1"/>
  <c r="L226" i="1" s="1"/>
  <c r="J914" i="1"/>
  <c r="L914" i="1" s="1"/>
  <c r="J13" i="1"/>
  <c r="L13" i="1" s="1"/>
  <c r="J273" i="1"/>
  <c r="L273" i="1" s="1"/>
  <c r="J305" i="1"/>
  <c r="L305" i="1" s="1"/>
  <c r="J685" i="1"/>
  <c r="L685" i="1" s="1"/>
  <c r="J200" i="1"/>
  <c r="L200" i="1" s="1"/>
  <c r="J222" i="1"/>
  <c r="L222" i="1" s="1"/>
  <c r="J362" i="1"/>
  <c r="L362" i="1" s="1"/>
  <c r="J583" i="1"/>
  <c r="L583" i="1" s="1"/>
  <c r="J65" i="1"/>
  <c r="L65" i="1" s="1"/>
  <c r="J754" i="1"/>
  <c r="L754" i="1" s="1"/>
  <c r="J74" i="1"/>
  <c r="L74" i="1" s="1"/>
  <c r="J665" i="1"/>
  <c r="L665" i="1" s="1"/>
  <c r="J896" i="1"/>
  <c r="L896" i="1" s="1"/>
  <c r="J295" i="1"/>
  <c r="L295" i="1" s="1"/>
  <c r="J389" i="1"/>
  <c r="L389" i="1" s="1"/>
  <c r="J261" i="1"/>
  <c r="L261" i="1" s="1"/>
  <c r="J955" i="1"/>
  <c r="L955" i="1" s="1"/>
  <c r="J983" i="1"/>
  <c r="L983" i="1" s="1"/>
  <c r="J771" i="1"/>
  <c r="L771" i="1" s="1"/>
  <c r="J444" i="1"/>
  <c r="L444" i="1" s="1"/>
  <c r="J864" i="1"/>
  <c r="L864" i="1" s="1"/>
  <c r="J494" i="1"/>
  <c r="L494" i="1" s="1"/>
  <c r="J976" i="1"/>
  <c r="L976" i="1" s="1"/>
  <c r="J473" i="1"/>
  <c r="L473" i="1" s="1"/>
  <c r="J239" i="1"/>
  <c r="L239" i="1" s="1"/>
  <c r="J70" i="1"/>
  <c r="L70" i="1" s="1"/>
  <c r="J317" i="1"/>
  <c r="L317" i="1" s="1"/>
  <c r="J547" i="1"/>
  <c r="L547" i="1" s="1"/>
  <c r="J6" i="1"/>
  <c r="L6" i="1" s="1"/>
  <c r="J217" i="1"/>
  <c r="L217" i="1" s="1"/>
  <c r="J193" i="1"/>
  <c r="L193" i="1" s="1"/>
  <c r="J468" i="1"/>
  <c r="L468" i="1" s="1"/>
  <c r="J392" i="1"/>
  <c r="L392" i="1" s="1"/>
  <c r="J655" i="1"/>
  <c r="L655" i="1" s="1"/>
  <c r="J292" i="1"/>
  <c r="L292" i="1" s="1"/>
  <c r="J154" i="1"/>
  <c r="L154" i="1" s="1"/>
  <c r="J117" i="1"/>
  <c r="L117" i="1" s="1"/>
  <c r="J220" i="1"/>
  <c r="L220" i="1" s="1"/>
  <c r="J619" i="1"/>
  <c r="L619" i="1" s="1"/>
  <c r="J68" i="1"/>
  <c r="L68" i="1" s="1"/>
  <c r="J542" i="1"/>
  <c r="L542" i="1" s="1"/>
  <c r="J489" i="1"/>
  <c r="L489" i="1" s="1"/>
  <c r="J750" i="1"/>
  <c r="L750" i="1" s="1"/>
  <c r="J873" i="1"/>
  <c r="L873" i="1" s="1"/>
  <c r="J893" i="1"/>
  <c r="L893" i="1" s="1"/>
  <c r="J35" i="1"/>
  <c r="L35" i="1" s="1"/>
  <c r="J32" i="1"/>
  <c r="L32" i="1" s="1"/>
  <c r="J561" i="1"/>
  <c r="L561" i="1" s="1"/>
  <c r="J206" i="1"/>
  <c r="L206" i="1" s="1"/>
  <c r="J294" i="1"/>
  <c r="L294" i="1" s="1"/>
  <c r="J106" i="1"/>
  <c r="L106" i="1" s="1"/>
  <c r="J551" i="1"/>
  <c r="L551" i="1" s="1"/>
  <c r="J524" i="1"/>
  <c r="L524" i="1" s="1"/>
  <c r="J683" i="1"/>
  <c r="L683" i="1" s="1"/>
  <c r="J28" i="1"/>
  <c r="L28" i="1" s="1"/>
  <c r="J660" i="1"/>
  <c r="L660" i="1" s="1"/>
  <c r="J945" i="1"/>
  <c r="L945" i="1" s="1"/>
  <c r="J687" i="1"/>
  <c r="L687" i="1" s="1"/>
  <c r="J789" i="1"/>
  <c r="L789" i="1" s="1"/>
  <c r="J73" i="1"/>
  <c r="L73" i="1" s="1"/>
  <c r="J986" i="1"/>
  <c r="L986" i="1" s="1"/>
  <c r="J617" i="1"/>
  <c r="L617" i="1" s="1"/>
  <c r="J38" i="1"/>
  <c r="L38" i="1" s="1"/>
  <c r="J688" i="1"/>
  <c r="L688" i="1" s="1"/>
  <c r="J889" i="1"/>
  <c r="L889" i="1" s="1"/>
  <c r="J992" i="1"/>
  <c r="L992" i="1" s="1"/>
  <c r="J959" i="1"/>
  <c r="L959" i="1" s="1"/>
  <c r="J47" i="1"/>
  <c r="L47" i="1" s="1"/>
  <c r="J849" i="1"/>
  <c r="L849" i="1" s="1"/>
  <c r="J629" i="1"/>
  <c r="L629" i="1" s="1"/>
  <c r="J274" i="1"/>
  <c r="L274" i="1" s="1"/>
  <c r="J361" i="1"/>
  <c r="L361" i="1" s="1"/>
  <c r="J788" i="1"/>
  <c r="L788" i="1" s="1"/>
  <c r="J313" i="1"/>
  <c r="L313" i="1" s="1"/>
  <c r="J175" i="1"/>
  <c r="L175" i="1" s="1"/>
  <c r="J367" i="1"/>
  <c r="L367" i="1" s="1"/>
  <c r="J371" i="1"/>
  <c r="L371" i="1" s="1"/>
  <c r="J916" i="1"/>
  <c r="L916" i="1" s="1"/>
  <c r="J762" i="1"/>
  <c r="L762" i="1" s="1"/>
  <c r="J894" i="1"/>
  <c r="L894" i="1" s="1"/>
  <c r="J54" i="1"/>
  <c r="L54" i="1" s="1"/>
  <c r="J456" i="1"/>
  <c r="L456" i="1" s="1"/>
  <c r="J883" i="1"/>
  <c r="L883" i="1" s="1"/>
  <c r="J469" i="1"/>
  <c r="L469" i="1" s="1"/>
  <c r="J181" i="1"/>
  <c r="L181" i="1" s="1"/>
  <c r="J656" i="1"/>
  <c r="L656" i="1" s="1"/>
  <c r="J720" i="1"/>
  <c r="L720" i="1" s="1"/>
  <c r="J270" i="1"/>
  <c r="L270" i="1" s="1"/>
  <c r="J726" i="1"/>
  <c r="L726" i="1" s="1"/>
  <c r="J243" i="1"/>
  <c r="L243" i="1" s="1"/>
  <c r="J427" i="1"/>
  <c r="L427" i="1" s="1"/>
  <c r="J45" i="1"/>
  <c r="L45" i="1" s="1"/>
  <c r="J213" i="1"/>
  <c r="L213" i="1" s="1"/>
  <c r="J710" i="1"/>
  <c r="L710" i="1" s="1"/>
  <c r="J516" i="1"/>
  <c r="L516" i="1" s="1"/>
  <c r="J759" i="1"/>
  <c r="L759" i="1" s="1"/>
  <c r="J596" i="1"/>
  <c r="L596" i="1" s="1"/>
  <c r="J228" i="1"/>
  <c r="L228" i="1" s="1"/>
  <c r="J79" i="1"/>
  <c r="L79" i="1" s="1"/>
  <c r="J484" i="1"/>
  <c r="L484" i="1" s="1"/>
  <c r="J510" i="1"/>
  <c r="L510" i="1" s="1"/>
  <c r="J187" i="1"/>
  <c r="L187" i="1" s="1"/>
  <c r="J495" i="1"/>
  <c r="L495" i="1" s="1"/>
  <c r="J95" i="1"/>
  <c r="L95" i="1" s="1"/>
  <c r="J298" i="1"/>
  <c r="L298" i="1" s="1"/>
  <c r="J529" i="1"/>
  <c r="L529" i="1" s="1"/>
  <c r="J103" i="1"/>
  <c r="L103" i="1" s="1"/>
  <c r="J439" i="1"/>
  <c r="L439" i="1" s="1"/>
  <c r="J545" i="1"/>
  <c r="L545" i="1" s="1"/>
  <c r="J430" i="1"/>
  <c r="L430" i="1" s="1"/>
  <c r="J639" i="1"/>
  <c r="L639" i="1" s="1"/>
  <c r="J910" i="1"/>
  <c r="L910" i="1" s="1"/>
  <c r="J37" i="1"/>
  <c r="L37" i="1" s="1"/>
  <c r="J870" i="1"/>
  <c r="L870" i="1" s="1"/>
  <c r="J505" i="1"/>
  <c r="L505" i="1" s="1"/>
  <c r="J708" i="1"/>
  <c r="L708" i="1" s="1"/>
  <c r="J568" i="1"/>
  <c r="L568" i="1" s="1"/>
  <c r="J324" i="1"/>
  <c r="L324" i="1" s="1"/>
  <c r="J250" i="1"/>
  <c r="L250" i="1" s="1"/>
  <c r="J815" i="1"/>
  <c r="L815" i="1" s="1"/>
  <c r="J935" i="1"/>
  <c r="L935" i="1" s="1"/>
  <c r="J356" i="1"/>
  <c r="L356" i="1" s="1"/>
  <c r="J341" i="1"/>
  <c r="L341" i="1" s="1"/>
  <c r="J159" i="1"/>
  <c r="L159" i="1" s="1"/>
  <c r="J3" i="1"/>
  <c r="L3" i="1" s="1"/>
  <c r="J382" i="1"/>
  <c r="L382" i="1" s="1"/>
  <c r="J380" i="1"/>
  <c r="L380" i="1" s="1"/>
  <c r="J791" i="1"/>
  <c r="L791" i="1" s="1"/>
  <c r="J280" i="1"/>
  <c r="L280" i="1" s="1"/>
  <c r="J827" i="1"/>
  <c r="L827" i="1" s="1"/>
  <c r="J1000" i="1"/>
  <c r="L1000" i="1" s="1"/>
  <c r="J506" i="1"/>
  <c r="L506" i="1" s="1"/>
  <c r="J215" i="1"/>
  <c r="L215" i="1" s="1"/>
  <c r="J101" i="1"/>
  <c r="L101" i="1" s="1"/>
  <c r="J840" i="1"/>
  <c r="L840" i="1" s="1"/>
  <c r="J970" i="1"/>
  <c r="L970" i="1" s="1"/>
  <c r="J724" i="1"/>
  <c r="L724" i="1" s="1"/>
  <c r="J508" i="1"/>
  <c r="L508" i="1" s="1"/>
  <c r="J211" i="1"/>
  <c r="L211" i="1" s="1"/>
  <c r="J825" i="1"/>
  <c r="L825" i="1" s="1"/>
  <c r="J438" i="1"/>
  <c r="L438" i="1" s="1"/>
  <c r="J557" i="1"/>
  <c r="L557" i="1" s="1"/>
  <c r="J565" i="1"/>
  <c r="L565" i="1" s="1"/>
  <c r="J160" i="1"/>
  <c r="L160" i="1" s="1"/>
  <c r="J342" i="1"/>
  <c r="L342" i="1" s="1"/>
  <c r="J78" i="1"/>
  <c r="L78" i="1" s="1"/>
  <c r="J675" i="1"/>
  <c r="L675" i="1" s="1"/>
  <c r="J973" i="1"/>
  <c r="L973" i="1" s="1"/>
  <c r="J768" i="1"/>
  <c r="L768" i="1" s="1"/>
  <c r="J753" i="1"/>
  <c r="L753" i="1" s="1"/>
  <c r="J950" i="1"/>
  <c r="L950" i="1" s="1"/>
  <c r="J316" i="1"/>
  <c r="L316" i="1" s="1"/>
  <c r="J518" i="1"/>
  <c r="L518" i="1" s="1"/>
  <c r="J320" i="1"/>
  <c r="L320" i="1" s="1"/>
  <c r="J330" i="1"/>
  <c r="L330" i="1" s="1"/>
  <c r="J924" i="1"/>
  <c r="L924" i="1" s="1"/>
  <c r="J190" i="1"/>
  <c r="L190" i="1" s="1"/>
  <c r="J670" i="1"/>
  <c r="L670" i="1" s="1"/>
  <c r="J560" i="1"/>
  <c r="L560" i="1" s="1"/>
  <c r="J194" i="1"/>
  <c r="L194" i="1" s="1"/>
  <c r="J594" i="1"/>
  <c r="L594" i="1" s="1"/>
  <c r="J53" i="1"/>
  <c r="L53" i="1" s="1"/>
  <c r="J16" i="1"/>
  <c r="L16" i="1" s="1"/>
  <c r="J148" i="1"/>
  <c r="L148" i="1" s="1"/>
  <c r="J693" i="1"/>
  <c r="L693" i="1" s="1"/>
  <c r="J837" i="1"/>
  <c r="L837" i="1" s="1"/>
  <c r="J758" i="1"/>
  <c r="L758" i="1" s="1"/>
  <c r="J374" i="1"/>
  <c r="L374" i="1" s="1"/>
  <c r="J856" i="1"/>
  <c r="L856" i="1" s="1"/>
  <c r="J61" i="1"/>
  <c r="L61" i="1" s="1"/>
  <c r="J108" i="1"/>
  <c r="L108" i="1" s="1"/>
  <c r="J109" i="1"/>
  <c r="L109" i="1" s="1"/>
  <c r="J777" i="1"/>
  <c r="L777" i="1" s="1"/>
  <c r="J40" i="1"/>
  <c r="L40" i="1" s="1"/>
  <c r="J46" i="1"/>
  <c r="L46" i="1" s="1"/>
  <c r="J487" i="1"/>
  <c r="L487" i="1" s="1"/>
  <c r="J291" i="1"/>
  <c r="L291" i="1" s="1"/>
  <c r="J225" i="1"/>
  <c r="L225" i="1" s="1"/>
  <c r="J167" i="1"/>
  <c r="L167" i="1" s="1"/>
  <c r="J779" i="1"/>
  <c r="L779" i="1" s="1"/>
  <c r="J881" i="1"/>
  <c r="L881" i="1" s="1"/>
  <c r="J242" i="1"/>
  <c r="L242" i="1" s="1"/>
  <c r="J82" i="1"/>
  <c r="L82" i="1" s="1"/>
  <c r="J603" i="1"/>
  <c r="L603" i="1" s="1"/>
  <c r="J88" i="1"/>
  <c r="L88" i="1" s="1"/>
  <c r="J133" i="1"/>
  <c r="L133" i="1" s="1"/>
  <c r="J831" i="1"/>
  <c r="L831" i="1" s="1"/>
  <c r="J413" i="1"/>
  <c r="L413" i="1" s="1"/>
  <c r="J819" i="1"/>
  <c r="L819" i="1" s="1"/>
  <c r="J822" i="1"/>
  <c r="L822" i="1" s="1"/>
  <c r="J63" i="1"/>
  <c r="L63" i="1" s="1"/>
  <c r="J17" i="1"/>
  <c r="L17" i="1" s="1"/>
  <c r="J674" i="1"/>
  <c r="L674" i="1" s="1"/>
  <c r="J980" i="1"/>
  <c r="L980" i="1" s="1"/>
  <c r="J717" i="1"/>
  <c r="L717" i="1" s="1"/>
  <c r="J851" i="1"/>
  <c r="L851" i="1" s="1"/>
  <c r="J951" i="1"/>
  <c r="L951" i="1" s="1"/>
  <c r="J89" i="1"/>
  <c r="L89" i="1" s="1"/>
  <c r="J383" i="1"/>
  <c r="L383" i="1" s="1"/>
  <c r="J111" i="1"/>
  <c r="L111" i="1" s="1"/>
  <c r="J929" i="1"/>
  <c r="L929" i="1" s="1"/>
  <c r="J657" i="1"/>
  <c r="L657" i="1" s="1"/>
  <c r="J412" i="1"/>
  <c r="L412" i="1" s="1"/>
  <c r="J891" i="1"/>
  <c r="L891" i="1" s="1"/>
  <c r="J370" i="1"/>
  <c r="L370" i="1" s="1"/>
  <c r="J421" i="1"/>
  <c r="L421" i="1" s="1"/>
  <c r="J991" i="1"/>
  <c r="L991" i="1" s="1"/>
  <c r="J809" i="1"/>
  <c r="L809" i="1" s="1"/>
  <c r="J476" i="1"/>
  <c r="L476" i="1" s="1"/>
  <c r="J334" i="1"/>
  <c r="L334" i="1" s="1"/>
  <c r="J613" i="1"/>
  <c r="L613" i="1" s="1"/>
  <c r="J501" i="1"/>
  <c r="L501" i="1" s="1"/>
  <c r="J648" i="1"/>
  <c r="L648" i="1" s="1"/>
  <c r="J365" i="1"/>
  <c r="L365" i="1" s="1"/>
  <c r="J901" i="1"/>
  <c r="L901" i="1" s="1"/>
  <c r="J241" i="1"/>
  <c r="L241" i="1" s="1"/>
  <c r="J742" i="1"/>
  <c r="L742" i="1" s="1"/>
  <c r="J709" i="1"/>
  <c r="L709" i="1" s="1"/>
  <c r="J166" i="1"/>
  <c r="L166" i="1" s="1"/>
  <c r="J592" i="1"/>
  <c r="L592" i="1" s="1"/>
  <c r="J847" i="1"/>
  <c r="L847" i="1" s="1"/>
  <c r="J236" i="1"/>
  <c r="L236" i="1" s="1"/>
  <c r="J458" i="1"/>
  <c r="L458" i="1" s="1"/>
  <c r="J163" i="1"/>
  <c r="L163" i="1" s="1"/>
  <c r="J712" i="1"/>
  <c r="L712" i="1" s="1"/>
  <c r="J446" i="1"/>
  <c r="L446" i="1" s="1"/>
  <c r="J567" i="1"/>
  <c r="L567" i="1" s="1"/>
  <c r="J146" i="1"/>
  <c r="L146" i="1" s="1"/>
  <c r="J94" i="1"/>
  <c r="L94" i="1" s="1"/>
  <c r="J393" i="1"/>
  <c r="L393" i="1" s="1"/>
  <c r="J517" i="1"/>
  <c r="L517" i="1" s="1"/>
  <c r="J928" i="1"/>
  <c r="L928" i="1" s="1"/>
  <c r="J278" i="1"/>
  <c r="L278" i="1" s="1"/>
  <c r="J196" i="1"/>
  <c r="L196" i="1" s="1"/>
  <c r="J129" i="1"/>
  <c r="L129" i="1" s="1"/>
  <c r="J705" i="1"/>
  <c r="L705" i="1" s="1"/>
  <c r="J128" i="1"/>
  <c r="L128" i="1" s="1"/>
  <c r="J259" i="1"/>
  <c r="L259" i="1" s="1"/>
  <c r="J855" i="1"/>
  <c r="L855" i="1" s="1"/>
  <c r="J879" i="1"/>
  <c r="L879" i="1" s="1"/>
  <c r="J631" i="1"/>
  <c r="L631" i="1" s="1"/>
  <c r="J172" i="1"/>
  <c r="L172" i="1" s="1"/>
  <c r="J699" i="1"/>
  <c r="L699" i="1" s="1"/>
  <c r="J632" i="1"/>
  <c r="L632" i="1" s="1"/>
  <c r="J116" i="1"/>
  <c r="L116" i="1" s="1"/>
  <c r="J982" i="1"/>
  <c r="L982" i="1" s="1"/>
  <c r="J694" i="1"/>
  <c r="L694" i="1" s="1"/>
  <c r="J608" i="1"/>
  <c r="L608" i="1" s="1"/>
  <c r="J866" i="1"/>
  <c r="L866" i="1" s="1"/>
  <c r="J734" i="1"/>
  <c r="L734" i="1" s="1"/>
  <c r="J552" i="1"/>
  <c r="L552" i="1" s="1"/>
  <c r="J140" i="1"/>
  <c r="L140" i="1" s="1"/>
  <c r="J372" i="1"/>
  <c r="L372" i="1" s="1"/>
  <c r="J488" i="1"/>
  <c r="L488" i="1" s="1"/>
  <c r="J248" i="1"/>
  <c r="L248" i="1" s="1"/>
  <c r="J934" i="1"/>
  <c r="L934" i="1" s="1"/>
  <c r="J245" i="1"/>
  <c r="L245" i="1" s="1"/>
  <c r="J406" i="1"/>
  <c r="L406" i="1" s="1"/>
  <c r="J543" i="1"/>
  <c r="L543" i="1" s="1"/>
  <c r="J254" i="1"/>
  <c r="L254" i="1" s="1"/>
  <c r="J997" i="1"/>
  <c r="L997" i="1" s="1"/>
  <c r="J96" i="1"/>
  <c r="L96" i="1" s="1"/>
  <c r="J335" i="1"/>
  <c r="L335" i="1" s="1"/>
  <c r="J432" i="1"/>
  <c r="L432" i="1" s="1"/>
  <c r="J877" i="1"/>
  <c r="L877" i="1" s="1"/>
  <c r="J151" i="1"/>
  <c r="L151" i="1" s="1"/>
  <c r="J649" i="1"/>
  <c r="L649" i="1" s="1"/>
  <c r="J471" i="1"/>
  <c r="L471" i="1" s="1"/>
  <c r="J663" i="1"/>
  <c r="L663" i="1" s="1"/>
  <c r="J850" i="1"/>
  <c r="L850" i="1" s="1"/>
  <c r="J952" i="1"/>
  <c r="L952" i="1" s="1"/>
  <c r="J179" i="1"/>
  <c r="L179" i="1" s="1"/>
  <c r="J744" i="1"/>
  <c r="L744" i="1" s="1"/>
  <c r="J536" i="1"/>
  <c r="L536" i="1" s="1"/>
  <c r="J714" i="1"/>
  <c r="L714" i="1" s="1"/>
  <c r="J911" i="1"/>
  <c r="L911" i="1" s="1"/>
  <c r="J9" i="1"/>
  <c r="L9" i="1" s="1"/>
  <c r="J999" i="1"/>
  <c r="L999" i="1" s="1"/>
  <c r="J575" i="1"/>
  <c r="L575" i="1" s="1"/>
  <c r="J725" i="1"/>
  <c r="L725" i="1" s="1"/>
  <c r="J353" i="1"/>
  <c r="L353" i="1" s="1"/>
  <c r="J265" i="1"/>
  <c r="L265" i="1" s="1"/>
  <c r="J622" i="1"/>
  <c r="L622" i="1" s="1"/>
  <c r="J740" i="1"/>
  <c r="L740" i="1" s="1"/>
  <c r="J892" i="1"/>
  <c r="L892" i="1" s="1"/>
  <c r="J767" i="1"/>
  <c r="L767" i="1" s="1"/>
  <c r="J348" i="1"/>
  <c r="L348" i="1" s="1"/>
  <c r="J853" i="1"/>
  <c r="L853" i="1" s="1"/>
  <c r="J974" i="1"/>
  <c r="L974" i="1" s="1"/>
  <c r="J956" i="1"/>
  <c r="L956" i="1" s="1"/>
  <c r="J307" i="1"/>
  <c r="L307" i="1" s="1"/>
  <c r="J218" i="1"/>
  <c r="L218" i="1" s="1"/>
  <c r="J477" i="1"/>
  <c r="L477" i="1" s="1"/>
  <c r="J178" i="1"/>
  <c r="L178" i="1" s="1"/>
  <c r="J377" i="1"/>
  <c r="L377" i="1" s="1"/>
  <c r="J76" i="1"/>
  <c r="L76" i="1" s="1"/>
  <c r="J355" i="1"/>
  <c r="L355" i="1" s="1"/>
  <c r="J926" i="1"/>
  <c r="L926" i="1" s="1"/>
  <c r="J83" i="1"/>
  <c r="L83" i="1" s="1"/>
  <c r="J409" i="1"/>
  <c r="L409" i="1" s="1"/>
  <c r="J344" i="1"/>
  <c r="L344" i="1" s="1"/>
  <c r="J177" i="1"/>
  <c r="L177" i="1" s="1"/>
  <c r="J408" i="1"/>
  <c r="L408" i="1" s="1"/>
  <c r="J810" i="1"/>
  <c r="L810" i="1" s="1"/>
  <c r="J42" i="1"/>
  <c r="L42" i="1" s="1"/>
  <c r="J597" i="1"/>
  <c r="L597" i="1" s="1"/>
  <c r="J434" i="1"/>
  <c r="L434" i="1" s="1"/>
  <c r="J915" i="1"/>
  <c r="L915" i="1" s="1"/>
  <c r="J912" i="1"/>
  <c r="L912" i="1" s="1"/>
  <c r="J419" i="1"/>
  <c r="L419" i="1" s="1"/>
  <c r="J780" i="1"/>
  <c r="L780" i="1" s="1"/>
  <c r="J425" i="1"/>
  <c r="L425" i="1" s="1"/>
  <c r="J266" i="1"/>
  <c r="L266" i="1" s="1"/>
  <c r="J369" i="1"/>
  <c r="L369" i="1" s="1"/>
  <c r="J84" i="1"/>
  <c r="L84" i="1" s="1"/>
  <c r="J808" i="1"/>
  <c r="L808" i="1" s="1"/>
  <c r="J544" i="1"/>
  <c r="L544" i="1" s="1"/>
  <c r="J942" i="1"/>
  <c r="L942" i="1" s="1"/>
  <c r="J943" i="1"/>
  <c r="L943" i="1" s="1"/>
  <c r="J503" i="1"/>
  <c r="L503" i="1" s="1"/>
  <c r="J960" i="1"/>
  <c r="L960" i="1" s="1"/>
  <c r="J553" i="1"/>
  <c r="L553" i="1" s="1"/>
  <c r="J747" i="1"/>
  <c r="L747" i="1" s="1"/>
  <c r="J763" i="1"/>
  <c r="L763" i="1" s="1"/>
  <c r="J453" i="1"/>
  <c r="L453" i="1" s="1"/>
  <c r="J81" i="1"/>
  <c r="L81" i="1" s="1"/>
  <c r="J253" i="1"/>
  <c r="L253" i="1" s="1"/>
  <c r="J790" i="1"/>
  <c r="L790" i="1" s="1"/>
  <c r="J569" i="1"/>
  <c r="L569" i="1" s="1"/>
  <c r="J676" i="1"/>
  <c r="L676" i="1" s="1"/>
  <c r="J868" i="1"/>
  <c r="L868" i="1" s="1"/>
  <c r="J800" i="1"/>
  <c r="L800" i="1" s="1"/>
  <c r="J669" i="1"/>
  <c r="L669" i="1" s="1"/>
  <c r="J610" i="1"/>
  <c r="L610" i="1" s="1"/>
  <c r="J162" i="1"/>
  <c r="L162" i="1" s="1"/>
  <c r="J782" i="1"/>
  <c r="L782" i="1" s="1"/>
  <c r="J311" i="1"/>
  <c r="L311" i="1" s="1"/>
  <c r="J448" i="1"/>
  <c r="L448" i="1" s="1"/>
  <c r="J987" i="1"/>
  <c r="L987" i="1" s="1"/>
  <c r="J24" i="1"/>
  <c r="L24" i="1" s="1"/>
  <c r="J474" i="1"/>
  <c r="L474" i="1" s="1"/>
  <c r="J829" i="1"/>
  <c r="L829" i="1" s="1"/>
  <c r="J749" i="1"/>
  <c r="L749" i="1" s="1"/>
  <c r="J713" i="1"/>
  <c r="L713" i="1" s="1"/>
  <c r="J969" i="1"/>
  <c r="L969" i="1" s="1"/>
  <c r="J600" i="1"/>
  <c r="L600" i="1" s="1"/>
  <c r="J814" i="1"/>
  <c r="L814" i="1" s="1"/>
  <c r="J967" i="1"/>
  <c r="L967" i="1" s="1"/>
  <c r="J176" i="1"/>
  <c r="L176" i="1" s="1"/>
  <c r="J290" i="1"/>
  <c r="L290" i="1" s="1"/>
  <c r="J145" i="1"/>
  <c r="L145" i="1" s="1"/>
  <c r="J695" i="1"/>
  <c r="L695" i="1" s="1"/>
  <c r="J541" i="1"/>
  <c r="L541" i="1" s="1"/>
  <c r="J168" i="1"/>
  <c r="L168" i="1" s="1"/>
  <c r="J359" i="1"/>
  <c r="L359" i="1" s="1"/>
  <c r="J961" i="1"/>
  <c r="L961" i="1" s="1"/>
  <c r="J440" i="1"/>
  <c r="L440" i="1" s="1"/>
  <c r="J971" i="1"/>
  <c r="L971" i="1" s="1"/>
  <c r="J775" i="1"/>
  <c r="L775" i="1" s="1"/>
  <c r="J841" i="1"/>
  <c r="L841" i="1" s="1"/>
  <c r="J277" i="1"/>
  <c r="L277" i="1" s="1"/>
  <c r="J716" i="1"/>
  <c r="L716" i="1" s="1"/>
  <c r="J803" i="1"/>
  <c r="L803" i="1" s="1"/>
  <c r="J472" i="1"/>
  <c r="L472" i="1" s="1"/>
  <c r="J860" i="1"/>
  <c r="L860" i="1" s="1"/>
  <c r="J57" i="1"/>
  <c r="L57" i="1" s="1"/>
  <c r="J650" i="1"/>
  <c r="L650" i="1" s="1"/>
  <c r="J513" i="1"/>
  <c r="L513" i="1" s="1"/>
  <c r="J141" i="1"/>
  <c r="L141" i="1" s="1"/>
  <c r="J366" i="1"/>
  <c r="L366" i="1" s="1"/>
  <c r="J283" i="1"/>
  <c r="L283" i="1" s="1"/>
  <c r="J858" i="1"/>
  <c r="L858" i="1" s="1"/>
  <c r="J325" i="1"/>
  <c r="L325" i="1" s="1"/>
  <c r="J460" i="1"/>
  <c r="L460" i="1" s="1"/>
  <c r="L2" i="1"/>
  <c r="J404" i="1"/>
  <c r="L404" i="1" s="1"/>
  <c r="J523" i="1"/>
  <c r="L523" i="1" s="1"/>
  <c r="J624" i="1"/>
  <c r="L624" i="1" s="1"/>
  <c r="J209" i="1"/>
  <c r="L209" i="1" s="1"/>
  <c r="J443" i="1"/>
  <c r="L443" i="1" s="1"/>
  <c r="J845" i="1"/>
  <c r="L845" i="1" s="1"/>
  <c r="J43" i="1"/>
  <c r="L43" i="1" s="1"/>
  <c r="J919" i="1"/>
  <c r="L919" i="1" s="1"/>
  <c r="J535" i="1"/>
  <c r="L535" i="1" s="1"/>
  <c r="J585" i="1"/>
  <c r="L585" i="1" s="1"/>
  <c r="J664" i="1"/>
  <c r="L664" i="1" s="1"/>
  <c r="J121" i="1"/>
  <c r="L121" i="1" s="1"/>
  <c r="J247" i="1"/>
  <c r="L247" i="1" s="1"/>
  <c r="J27" i="1"/>
  <c r="L27" i="1" s="1"/>
  <c r="J993" i="1"/>
  <c r="L993" i="1" s="1"/>
  <c r="J15" i="1"/>
  <c r="L15" i="1" s="1"/>
  <c r="J581" i="1"/>
  <c r="L581" i="1" s="1"/>
  <c r="J562" i="1"/>
  <c r="L562" i="1" s="1"/>
  <c r="J946" i="1"/>
  <c r="L946" i="1" s="1"/>
  <c r="J293" i="1"/>
  <c r="L293" i="1" s="1"/>
  <c r="J216" i="1"/>
  <c r="L216" i="1" s="1"/>
  <c r="J268" i="1"/>
  <c r="L268" i="1" s="1"/>
  <c r="J418" i="1"/>
  <c r="L418" i="1" s="1"/>
  <c r="J5" i="1"/>
  <c r="L5" i="1" s="1"/>
  <c r="J33" i="1"/>
  <c r="L33" i="1" s="1"/>
  <c r="J558" i="1"/>
  <c r="L558" i="1" s="1"/>
  <c r="J441" i="1"/>
  <c r="L441" i="1" s="1"/>
  <c r="J174" i="1"/>
  <c r="L174" i="1" s="1"/>
  <c r="J304" i="1"/>
  <c r="L304" i="1" s="1"/>
  <c r="J368" i="1"/>
  <c r="L368" i="1" s="1"/>
  <c r="J296" i="1"/>
  <c r="L296" i="1" s="1"/>
  <c r="J701" i="1"/>
  <c r="L701" i="1" s="1"/>
  <c r="J287" i="1"/>
  <c r="L287" i="1" s="1"/>
  <c r="J844" i="1"/>
  <c r="L844" i="1" s="1"/>
  <c r="J410" i="1"/>
  <c r="L410" i="1" s="1"/>
  <c r="J700" i="1"/>
  <c r="L700" i="1" s="1"/>
  <c r="J86" i="1"/>
  <c r="L86" i="1" s="1"/>
  <c r="J785" i="1"/>
  <c r="L785" i="1" s="1"/>
  <c r="J195" i="1"/>
  <c r="L195" i="1" s="1"/>
  <c r="J461" i="1"/>
  <c r="L461" i="1" s="1"/>
  <c r="J637" i="1"/>
  <c r="L637" i="1" s="1"/>
  <c r="J87" i="1"/>
  <c r="L87" i="1" s="1"/>
  <c r="J897" i="1"/>
  <c r="L897" i="1" s="1"/>
  <c r="J173" i="1"/>
  <c r="L173" i="1" s="1"/>
  <c r="J284" i="1"/>
  <c r="L284" i="1" s="1"/>
  <c r="J240" i="1"/>
  <c r="L240" i="1" s="1"/>
  <c r="J164" i="1"/>
  <c r="L164" i="1" s="1"/>
  <c r="J539" i="1"/>
  <c r="L539" i="1" s="1"/>
  <c r="J932" i="1"/>
  <c r="L932" i="1" s="1"/>
  <c r="J752" i="1"/>
  <c r="L752" i="1" s="1"/>
  <c r="J623" i="1"/>
  <c r="L623" i="1" s="1"/>
  <c r="J816" i="1"/>
  <c r="L816" i="1" s="1"/>
  <c r="J887" i="1"/>
  <c r="L887" i="1" s="1"/>
  <c r="J143" i="1"/>
  <c r="L143" i="1" s="1"/>
  <c r="J204" i="1"/>
  <c r="L204" i="1" s="1"/>
  <c r="J739" i="1"/>
  <c r="L739" i="1" s="1"/>
  <c r="J931" i="1"/>
  <c r="L931" i="1" s="1"/>
  <c r="J48" i="1"/>
  <c r="L48" i="1" s="1"/>
  <c r="J118" i="1"/>
  <c r="L118" i="1" s="1"/>
  <c r="J736" i="1"/>
  <c r="L736" i="1" s="1"/>
  <c r="J351" i="1"/>
  <c r="L351" i="1" s="1"/>
  <c r="J312" i="1"/>
  <c r="L312" i="1" s="1"/>
  <c r="J550" i="1"/>
  <c r="L550" i="1" s="1"/>
  <c r="J588" i="1"/>
  <c r="L588" i="1" s="1"/>
  <c r="J255" i="1"/>
  <c r="L255" i="1" s="1"/>
  <c r="J23" i="1"/>
  <c r="L23" i="1" s="1"/>
  <c r="J644" i="1"/>
  <c r="L644" i="1" s="1"/>
  <c r="J994" i="1"/>
  <c r="L994" i="1" s="1"/>
  <c r="J363" i="1"/>
  <c r="L363" i="1" s="1"/>
  <c r="J741" i="1"/>
  <c r="L741" i="1" s="1"/>
  <c r="J352" i="1"/>
  <c r="L352" i="1" s="1"/>
  <c r="J100" i="1"/>
  <c r="L100" i="1" s="1"/>
  <c r="J548" i="1"/>
  <c r="L548" i="1" s="1"/>
  <c r="J1001" i="1"/>
  <c r="L1001" i="1" s="1"/>
  <c r="J22" i="1"/>
  <c r="L22" i="1" s="1"/>
  <c r="J400" i="1"/>
  <c r="L400" i="1" s="1"/>
  <c r="J828" i="1"/>
  <c r="L828" i="1" s="1"/>
  <c r="J765" i="1"/>
  <c r="L765" i="1" s="1"/>
  <c r="J839" i="1"/>
  <c r="L839" i="1" s="1"/>
  <c r="J899" i="1"/>
  <c r="L899" i="1" s="1"/>
  <c r="J813" i="1"/>
  <c r="L813" i="1" s="1"/>
  <c r="J884" i="1"/>
  <c r="L884" i="1" s="1"/>
  <c r="J157" i="1"/>
  <c r="L157" i="1" s="1"/>
  <c r="J319" i="1"/>
  <c r="L319" i="1" s="1"/>
  <c r="J398" i="1"/>
  <c r="L398" i="1" s="1"/>
  <c r="J459" i="1"/>
  <c r="L459" i="1" s="1"/>
  <c r="J192" i="1"/>
  <c r="L192" i="1" s="1"/>
  <c r="J958" i="1"/>
  <c r="L958" i="1" s="1"/>
  <c r="J576" i="1"/>
  <c r="L576" i="1" s="1"/>
  <c r="J147" i="1"/>
  <c r="L147" i="1" s="1"/>
  <c r="J802" i="1"/>
  <c r="L802" i="1" s="1"/>
  <c r="J738" i="1"/>
  <c r="L738" i="1" s="1"/>
  <c r="J865" i="1"/>
  <c r="L865" i="1" s="1"/>
  <c r="J846" i="1"/>
  <c r="L846" i="1" s="1"/>
  <c r="J144" i="1"/>
  <c r="L144" i="1" s="1"/>
  <c r="J281" i="1"/>
  <c r="L281" i="1" s="1"/>
  <c r="J764" i="1"/>
  <c r="L764" i="1" s="1"/>
  <c r="J661" i="1"/>
  <c r="L661" i="1" s="1"/>
  <c r="J69" i="1"/>
  <c r="L69" i="1" s="1"/>
  <c r="J729" i="1"/>
  <c r="L729" i="1" s="1"/>
  <c r="J918" i="1"/>
  <c r="L918" i="1" s="1"/>
  <c r="J156" i="1"/>
  <c r="L156" i="1" s="1"/>
  <c r="J966" i="1"/>
  <c r="L966" i="1" s="1"/>
  <c r="J229" i="1"/>
  <c r="L229" i="1" s="1"/>
  <c r="J751" i="1"/>
  <c r="L751" i="1" s="1"/>
  <c r="J338" i="1"/>
  <c r="L338" i="1" s="1"/>
  <c r="J25" i="1"/>
  <c r="L25" i="1" s="1"/>
  <c r="J586" i="1"/>
  <c r="L586" i="1" s="1"/>
  <c r="J480" i="1"/>
  <c r="L480" i="1" s="1"/>
  <c r="J467" i="1"/>
  <c r="L467" i="1" s="1"/>
  <c r="J340" i="1"/>
  <c r="L340" i="1" s="1"/>
  <c r="J537" i="1"/>
  <c r="L537" i="1" s="1"/>
  <c r="J735" i="1"/>
  <c r="L735" i="1" s="1"/>
  <c r="J212" i="1"/>
  <c r="L212" i="1" s="1"/>
  <c r="J572" i="1"/>
  <c r="L572" i="1" s="1"/>
  <c r="J654" i="1"/>
  <c r="L654" i="1" s="1"/>
  <c r="J302" i="1"/>
  <c r="L302" i="1" s="1"/>
  <c r="J917" i="1"/>
  <c r="L917" i="1" s="1"/>
  <c r="J346" i="1"/>
  <c r="L346" i="1" s="1"/>
  <c r="J834" i="1"/>
  <c r="L834" i="1" s="1"/>
  <c r="J719" i="1"/>
  <c r="L719" i="1" s="1"/>
  <c r="J711" i="1"/>
  <c r="L711" i="1" s="1"/>
  <c r="J431" i="1"/>
  <c r="L431" i="1" s="1"/>
  <c r="J322" i="1"/>
  <c r="L322" i="1" s="1"/>
  <c r="J672" i="1"/>
  <c r="L672" i="1" s="1"/>
  <c r="J957" i="1"/>
  <c r="L957" i="1" s="1"/>
  <c r="J574" i="1"/>
  <c r="L574" i="1" s="1"/>
  <c r="J306" i="1"/>
  <c r="L306" i="1" s="1"/>
  <c r="J479" i="1"/>
  <c r="L479" i="1" s="1"/>
  <c r="J376" i="1"/>
  <c r="L376" i="1" s="1"/>
  <c r="J34" i="1"/>
  <c r="L34" i="1" s="1"/>
  <c r="J130" i="1"/>
  <c r="L130" i="1" s="1"/>
  <c r="J933" i="1"/>
  <c r="L933" i="1" s="1"/>
  <c r="J155" i="1"/>
  <c r="L155" i="1" s="1"/>
  <c r="J214" i="1"/>
  <c r="L214" i="1" s="1"/>
  <c r="J189" i="1"/>
  <c r="L189" i="1" s="1"/>
  <c r="J817" i="1"/>
  <c r="L817" i="1" s="1"/>
  <c r="J463" i="1"/>
  <c r="L463" i="1" s="1"/>
  <c r="J996" i="1"/>
  <c r="L996" i="1" s="1"/>
  <c r="J871" i="1"/>
  <c r="L871" i="1" s="1"/>
  <c r="J578" i="1"/>
  <c r="L578" i="1" s="1"/>
  <c r="J56" i="1"/>
  <c r="L56" i="1" s="1"/>
  <c r="J447" i="1"/>
  <c r="L447" i="1" s="1"/>
  <c r="J450" i="1"/>
  <c r="L450" i="1" s="1"/>
  <c r="J135" i="1"/>
  <c r="L135" i="1" s="1"/>
  <c r="J836" i="1"/>
  <c r="L836" i="1" s="1"/>
  <c r="J119" i="1"/>
  <c r="L119" i="1" s="1"/>
  <c r="J329" i="1"/>
  <c r="L329" i="1" s="1"/>
  <c r="J691" i="1"/>
  <c r="L691" i="1" s="1"/>
  <c r="J848" i="1"/>
  <c r="L848" i="1" s="1"/>
  <c r="J530" i="1"/>
  <c r="L530" i="1" s="1"/>
  <c r="J384" i="1"/>
  <c r="L384" i="1" s="1"/>
  <c r="J375" i="1"/>
  <c r="L375" i="1" s="1"/>
  <c r="J625" i="1"/>
  <c r="L625" i="1" s="1"/>
  <c r="J909" i="1"/>
  <c r="L909" i="1" s="1"/>
  <c r="J538" i="1"/>
  <c r="L538" i="1" s="1"/>
  <c r="J350" i="1"/>
  <c r="L350" i="1" s="1"/>
  <c r="J645" i="1"/>
  <c r="L645" i="1" s="1"/>
  <c r="J310" i="1"/>
  <c r="L310" i="1" s="1"/>
  <c r="J442" i="1"/>
  <c r="L442" i="1" s="1"/>
  <c r="J373" i="1"/>
  <c r="L373" i="1" s="1"/>
  <c r="J308" i="1"/>
  <c r="L308" i="1" s="1"/>
  <c r="J766" i="1"/>
  <c r="L766" i="1" s="1"/>
  <c r="J233" i="1"/>
  <c r="L233" i="1" s="1"/>
  <c r="J806" i="1"/>
  <c r="L806" i="1" s="1"/>
  <c r="J318" i="1"/>
  <c r="L318" i="1" s="1"/>
  <c r="J279" i="1"/>
  <c r="L279" i="1" s="1"/>
  <c r="J900" i="1"/>
  <c r="L900" i="1" s="1"/>
  <c r="J972" i="1"/>
  <c r="L972" i="1" s="1"/>
  <c r="J612" i="1"/>
  <c r="L612" i="1" s="1"/>
  <c r="J895" i="1"/>
  <c r="L895" i="1" s="1"/>
  <c r="J403" i="1"/>
  <c r="L403" i="1" s="1"/>
  <c r="J7" i="1"/>
  <c r="L7" i="1" s="1"/>
  <c r="J315" i="1"/>
  <c r="L315" i="1" s="1"/>
  <c r="J527" i="1"/>
  <c r="L527" i="1" s="1"/>
  <c r="J158" i="1"/>
  <c r="L158" i="1" s="1"/>
  <c r="J360" i="1"/>
  <c r="L360" i="1" s="1"/>
  <c r="J621" i="1"/>
  <c r="L621" i="1" s="1"/>
  <c r="J607" i="1"/>
  <c r="L607" i="1" s="1"/>
  <c r="J940" i="1"/>
  <c r="L940" i="1" s="1"/>
  <c r="J231" i="1"/>
  <c r="L231" i="1" s="1"/>
  <c r="J923" i="1"/>
  <c r="L923" i="1" s="1"/>
  <c r="J507" i="1"/>
  <c r="L507" i="1" s="1"/>
  <c r="J414" i="1"/>
  <c r="L414" i="1" s="1"/>
  <c r="J559" i="1"/>
  <c r="L559" i="1" s="1"/>
  <c r="J152" i="1"/>
  <c r="L152" i="1" s="1"/>
  <c r="J263" i="1"/>
  <c r="L263" i="1" s="1"/>
  <c r="J104" i="1"/>
  <c r="L104" i="1" s="1"/>
  <c r="J188" i="1"/>
  <c r="L188" i="1" s="1"/>
  <c r="J872" i="1"/>
  <c r="L872" i="1" s="1"/>
  <c r="J804" i="1"/>
  <c r="L804" i="1" s="1"/>
  <c r="J198" i="1"/>
  <c r="L198" i="1" s="1"/>
  <c r="J354" i="1"/>
  <c r="L354" i="1" s="1"/>
  <c r="J80" i="1"/>
  <c r="L80" i="1" s="1"/>
  <c r="J882" i="1"/>
  <c r="L882" i="1" s="1"/>
  <c r="J251" i="1"/>
  <c r="L251" i="1" s="1"/>
  <c r="J590" i="1"/>
  <c r="L590" i="1" s="1"/>
  <c r="J435" i="1"/>
  <c r="L435" i="1" s="1"/>
  <c r="J979" i="1"/>
  <c r="L979" i="1" s="1"/>
  <c r="J391" i="1"/>
  <c r="L391" i="1" s="1"/>
  <c r="J941" i="1"/>
  <c r="L941" i="1" s="1"/>
  <c r="J91" i="1"/>
  <c r="L91" i="1" s="1"/>
  <c r="J207" i="1"/>
  <c r="L207" i="1" s="1"/>
  <c r="J395" i="1"/>
  <c r="L395" i="1" s="1"/>
  <c r="J202" i="1"/>
  <c r="L202" i="1" s="1"/>
  <c r="J755" i="1"/>
  <c r="L755" i="1" s="1"/>
  <c r="J332" i="1"/>
  <c r="L332" i="1" s="1"/>
  <c r="J219" i="1"/>
  <c r="L219" i="1" s="1"/>
  <c r="J944" i="1"/>
  <c r="L944" i="1" s="1"/>
  <c r="J449" i="1"/>
  <c r="L449" i="1" s="1"/>
  <c r="J689" i="1"/>
  <c r="L689" i="1" s="1"/>
  <c r="J540" i="1"/>
  <c r="L540" i="1" s="1"/>
  <c r="J801" i="1"/>
  <c r="L801" i="1" s="1"/>
  <c r="J161" i="1"/>
  <c r="L161" i="1" s="1"/>
  <c r="J812" i="1"/>
  <c r="L812" i="1" s="1"/>
  <c r="J605" i="1"/>
  <c r="L605" i="1" s="1"/>
  <c r="J199" i="1"/>
  <c r="L199" i="1" s="1"/>
  <c r="J680" i="1"/>
  <c r="L680" i="1" s="1"/>
  <c r="J922" i="1"/>
  <c r="L922" i="1" s="1"/>
  <c r="J776" i="1"/>
  <c r="L776" i="1" s="1"/>
  <c r="J703" i="1"/>
  <c r="L703" i="1" s="1"/>
  <c r="J616" i="1"/>
  <c r="L616" i="1" s="1"/>
  <c r="J500" i="1"/>
  <c r="L500" i="1" s="1"/>
  <c r="J731" i="1"/>
  <c r="L731" i="1" s="1"/>
  <c r="J509" i="1"/>
  <c r="L509" i="1" s="1"/>
  <c r="J93" i="1"/>
  <c r="L93" i="1" s="1"/>
  <c r="J880" i="1"/>
  <c r="L880" i="1" s="1"/>
  <c r="J528" i="1"/>
  <c r="L528" i="1" s="1"/>
  <c r="J227" i="1"/>
  <c r="L227" i="1" s="1"/>
  <c r="J333" i="1"/>
  <c r="L333" i="1" s="1"/>
  <c r="J428" i="1"/>
  <c r="L428" i="1" s="1"/>
  <c r="J286" i="1"/>
  <c r="L286" i="1" s="1"/>
  <c r="J451" i="1"/>
  <c r="L451" i="1" s="1"/>
  <c r="J587" i="1"/>
  <c r="L587" i="1" s="1"/>
  <c r="J138" i="1"/>
  <c r="L138" i="1" s="1"/>
  <c r="J678" i="1"/>
  <c r="L678" i="1" s="1"/>
  <c r="J728" i="1"/>
  <c r="L728" i="1" s="1"/>
  <c r="J604" i="1"/>
  <c r="L604" i="1" s="1"/>
  <c r="J357" i="1"/>
  <c r="L357" i="1" s="1"/>
  <c r="J512" i="1"/>
  <c r="L512" i="1" s="1"/>
  <c r="J773" i="1"/>
  <c r="L773" i="1" s="1"/>
  <c r="J975" i="1"/>
  <c r="L975" i="1" s="1"/>
  <c r="J397" i="1"/>
  <c r="L397" i="1" s="1"/>
  <c r="J570" i="1"/>
  <c r="L570" i="1" s="1"/>
  <c r="J481" i="1"/>
  <c r="L481" i="1" s="1"/>
  <c r="J874" i="1"/>
  <c r="L874" i="1" s="1"/>
  <c r="J977" i="1"/>
  <c r="L977" i="1" s="1"/>
  <c r="J745" i="1"/>
  <c r="L745" i="1" s="1"/>
  <c r="J105" i="1"/>
  <c r="L105" i="1" s="1"/>
  <c r="J606" i="1"/>
  <c r="L606" i="1" s="1"/>
  <c r="J452" i="1"/>
  <c r="L452" i="1" s="1"/>
  <c r="J532" i="1"/>
  <c r="L532" i="1" s="1"/>
  <c r="J642" i="1"/>
  <c r="L642" i="1" s="1"/>
  <c r="J349" i="1"/>
  <c r="L349" i="1" s="1"/>
  <c r="J781" i="1"/>
  <c r="L781" i="1" s="1"/>
  <c r="J722" i="1"/>
  <c r="L722" i="1" s="1"/>
  <c r="J989" i="1"/>
  <c r="L989" i="1" s="1"/>
  <c r="J733" i="1"/>
  <c r="L733" i="1" s="1"/>
  <c r="J497" i="1"/>
  <c r="L497" i="1" s="1"/>
  <c r="J454" i="1"/>
  <c r="L454" i="1" s="1"/>
  <c r="J60" i="1"/>
  <c r="L60" i="1" s="1"/>
  <c r="J282" i="1"/>
  <c r="L282" i="1" s="1"/>
  <c r="J646" i="1"/>
  <c r="L646" i="1" s="1"/>
  <c r="J127" i="1"/>
  <c r="L127" i="1" s="1"/>
  <c r="J149" i="1"/>
  <c r="L149" i="1" s="1"/>
  <c r="J478" i="1"/>
  <c r="L478" i="1" s="1"/>
  <c r="J169" i="1"/>
  <c r="L169" i="1" s="1"/>
  <c r="J878" i="1"/>
  <c r="L878" i="1" s="1"/>
  <c r="J415" i="1"/>
  <c r="L415" i="1" s="1"/>
  <c r="J636" i="1"/>
  <c r="L636" i="1" s="1"/>
  <c r="J41" i="1"/>
  <c r="L41" i="1" s="1"/>
  <c r="J652" i="1"/>
  <c r="L652" i="1" s="1"/>
  <c r="J475" i="1"/>
  <c r="L475" i="1" s="1"/>
  <c r="J890" i="1"/>
  <c r="L890" i="1" s="1"/>
  <c r="J820" i="1"/>
  <c r="L820" i="1" s="1"/>
  <c r="J885" i="1"/>
  <c r="L885" i="1" s="1"/>
  <c r="J799" i="1"/>
  <c r="L799" i="1" s="1"/>
  <c r="J429" i="1"/>
  <c r="L429" i="1" s="1"/>
  <c r="J531" i="1"/>
  <c r="L531" i="1" s="1"/>
  <c r="J347" i="1"/>
  <c r="L347" i="1" s="1"/>
  <c r="J331" i="1"/>
  <c r="L331" i="1" s="1"/>
  <c r="J549" i="1"/>
  <c r="L549" i="1" s="1"/>
  <c r="J906" i="1"/>
  <c r="L906" i="1" s="1"/>
  <c r="J485" i="1"/>
  <c r="L485" i="1" s="1"/>
  <c r="J939" i="1"/>
  <c r="L939" i="1" s="1"/>
  <c r="J71" i="1"/>
  <c r="L71" i="1" s="1"/>
  <c r="J426" i="1"/>
  <c r="L426" i="1" s="1"/>
  <c r="J792" i="1"/>
  <c r="L792" i="1" s="1"/>
  <c r="J898" i="1"/>
  <c r="L898" i="1" s="1"/>
  <c r="J998" i="1"/>
  <c r="L998" i="1" s="1"/>
  <c r="J821" i="1"/>
  <c r="L821" i="1" s="1"/>
  <c r="J681" i="1"/>
  <c r="L681" i="1" s="1"/>
  <c r="J556" i="1"/>
  <c r="L556" i="1" s="1"/>
  <c r="J493" i="1"/>
  <c r="L493" i="1" s="1"/>
  <c r="J673" i="1"/>
  <c r="L673" i="1" s="1"/>
  <c r="J405" i="1"/>
  <c r="L405" i="1" s="1"/>
  <c r="J59" i="1"/>
  <c r="L59" i="1" s="1"/>
  <c r="J589" i="1"/>
  <c r="L589" i="1" s="1"/>
  <c r="J727" i="1"/>
  <c r="L727" i="1" s="1"/>
  <c r="J921" i="1"/>
  <c r="L921" i="1" s="1"/>
  <c r="J869" i="1"/>
  <c r="L869" i="1" s="1"/>
  <c r="J416" i="1"/>
  <c r="L416" i="1" s="1"/>
  <c r="J134" i="1"/>
  <c r="L134" i="1" s="1"/>
  <c r="J390" i="1"/>
  <c r="L390" i="1" s="1"/>
  <c r="J272" i="1"/>
  <c r="L272" i="1" s="1"/>
  <c r="J358" i="1"/>
  <c r="L358" i="1" s="1"/>
  <c r="J830" i="1"/>
  <c r="L830" i="1" s="1"/>
  <c r="J262" i="1"/>
  <c r="L262" i="1" s="1"/>
  <c r="J411" i="1"/>
  <c r="L411" i="1" s="1"/>
  <c r="J787" i="1"/>
  <c r="L787" i="1" s="1"/>
  <c r="J107" i="1"/>
  <c r="L107" i="1" s="1"/>
  <c r="J930" i="1"/>
  <c r="L930" i="1" s="1"/>
  <c r="J433" i="1"/>
  <c r="L433" i="1" s="1"/>
  <c r="J249" i="1"/>
  <c r="L249" i="1" s="1"/>
  <c r="J662" i="1"/>
  <c r="L662" i="1" s="1"/>
  <c r="J627" i="1"/>
  <c r="L627" i="1" s="1"/>
  <c r="J573" i="1"/>
  <c r="L573" i="1" s="1"/>
  <c r="J732" i="1"/>
  <c r="L732" i="1" s="1"/>
  <c r="J633" i="1"/>
  <c r="L633" i="1" s="1"/>
  <c r="J36" i="1"/>
  <c r="L36" i="1" s="1"/>
  <c r="J386" i="1"/>
  <c r="L386" i="1" s="1"/>
  <c r="J112" i="1"/>
  <c r="L112" i="1" s="1"/>
  <c r="J123" i="1"/>
  <c r="L123" i="1" s="1"/>
  <c r="J761" i="1"/>
  <c r="L761" i="1" s="1"/>
  <c r="J964" i="1"/>
  <c r="L964" i="1" s="1"/>
  <c r="J697" i="1"/>
  <c r="L697" i="1" s="1"/>
  <c r="J638" i="1"/>
  <c r="L638" i="1" s="1"/>
  <c r="J170" i="1"/>
  <c r="L170" i="1" s="1"/>
  <c r="J783" i="1"/>
  <c r="L783" i="1" s="1"/>
  <c r="J498" i="1"/>
  <c r="L498" i="1" s="1"/>
  <c r="J857" i="1"/>
  <c r="L857" i="1" s="1"/>
  <c r="J50" i="1"/>
  <c r="L50" i="1" s="1"/>
  <c r="J593" i="1"/>
  <c r="L593" i="1" s="1"/>
  <c r="J492" i="1"/>
  <c r="L492" i="1" s="1"/>
  <c r="J224" i="1"/>
  <c r="L224" i="1" s="1"/>
  <c r="J920" i="1"/>
  <c r="L920" i="1" s="1"/>
  <c r="J522" i="1"/>
  <c r="L522" i="1" s="1"/>
  <c r="J602" i="1"/>
  <c r="L602" i="1" s="1"/>
  <c r="J275" i="1"/>
  <c r="L275" i="1" s="1"/>
  <c r="J303" i="1"/>
  <c r="L303" i="1" s="1"/>
  <c r="J326" i="1"/>
  <c r="L326" i="1" s="1"/>
  <c r="J867" i="1"/>
  <c r="L867" i="1" s="1"/>
  <c r="J424" i="1"/>
  <c r="L424" i="1" s="1"/>
  <c r="J706" i="1"/>
  <c r="L706" i="1" s="1"/>
  <c r="J126" i="1"/>
  <c r="L126" i="1" s="1"/>
  <c r="J165" i="1"/>
  <c r="L165" i="1" s="1"/>
  <c r="J491" i="1"/>
  <c r="L491" i="1" s="1"/>
  <c r="J677" i="1"/>
  <c r="L677" i="1" s="1"/>
  <c r="J818" i="1"/>
  <c r="L818" i="1" s="1"/>
  <c r="J511" i="1"/>
  <c r="L511" i="1" s="1"/>
  <c r="J185" i="1"/>
  <c r="L185" i="1" s="1"/>
  <c r="J521" i="1"/>
  <c r="L521" i="1" s="1"/>
  <c r="J692" i="1"/>
  <c r="L692" i="1" s="1"/>
  <c r="J546" i="1"/>
  <c r="L546" i="1" s="1"/>
  <c r="J137" i="1"/>
  <c r="L137" i="1" s="1"/>
  <c r="J387" i="1"/>
  <c r="L387" i="1" s="1"/>
  <c r="J618" i="1"/>
  <c r="L618" i="1" s="1"/>
  <c r="J668" i="1"/>
  <c r="L668" i="1" s="1"/>
  <c r="J723" i="1"/>
  <c r="L723" i="1" s="1"/>
  <c r="J21" i="1"/>
  <c r="L21" i="1" s="1"/>
  <c r="J514" i="1"/>
  <c r="L514" i="1" s="1"/>
  <c r="J125" i="1"/>
  <c r="L125" i="1" s="1"/>
  <c r="J948" i="1"/>
  <c r="L948" i="1" s="1"/>
  <c r="J984" i="1"/>
  <c r="L984" i="1" s="1"/>
  <c r="J66" i="1"/>
  <c r="L66" i="1" s="1"/>
  <c r="J832" i="1"/>
  <c r="L832" i="1" s="1"/>
  <c r="J396" i="1"/>
  <c r="L396" i="1" s="1"/>
  <c r="J364" i="1"/>
  <c r="L364" i="1" s="1"/>
  <c r="J258" i="1"/>
  <c r="L258" i="1" s="1"/>
  <c r="J666" i="1"/>
  <c r="L666" i="1" s="1"/>
  <c r="J252" i="1"/>
  <c r="L252" i="1" s="1"/>
  <c r="J269" i="1"/>
  <c r="L269" i="1" s="1"/>
  <c r="J237" i="1"/>
  <c r="L237" i="1" s="1"/>
  <c r="J591" i="1"/>
  <c r="L591" i="1" s="1"/>
  <c r="J609" i="1"/>
  <c r="L609" i="1" s="1"/>
  <c r="J183" i="1"/>
  <c r="L183" i="1" s="1"/>
  <c r="J658" i="1"/>
  <c r="L658" i="1" s="1"/>
  <c r="J651" i="1"/>
  <c r="L651" i="1" s="1"/>
  <c r="J904" i="1"/>
  <c r="L904" i="1" s="1"/>
  <c r="J842" i="1"/>
  <c r="L842" i="1" s="1"/>
  <c r="J401" i="1"/>
  <c r="L401" i="1" s="1"/>
  <c r="J784" i="1"/>
  <c r="L784" i="1" s="1"/>
  <c r="J682" i="1"/>
  <c r="L682" i="1" s="1"/>
  <c r="J379" i="1"/>
  <c r="L379" i="1" s="1"/>
  <c r="J748" i="1"/>
  <c r="L748" i="1" s="1"/>
  <c r="J659" i="1"/>
  <c r="L659" i="1" s="1"/>
  <c r="J963" i="1"/>
  <c r="L963" i="1" s="1"/>
  <c r="J260" i="1"/>
  <c r="L260" i="1" s="1"/>
  <c r="J796" i="1"/>
  <c r="L796" i="1" s="1"/>
  <c r="J861" i="1"/>
  <c r="L861" i="1" s="1"/>
  <c r="J62" i="1"/>
  <c r="L62" i="1" s="1"/>
  <c r="J770" i="1"/>
  <c r="L770" i="1" s="1"/>
  <c r="J502" i="1"/>
  <c r="L502" i="1" s="1"/>
  <c r="J760" i="1"/>
  <c r="L760" i="1" s="1"/>
  <c r="J525" i="1"/>
  <c r="L525" i="1" s="1"/>
  <c r="J772" i="1"/>
  <c r="L772" i="1" s="1"/>
  <c r="J18" i="1"/>
  <c r="L18" i="1" s="1"/>
  <c r="J186" i="1"/>
  <c r="L186" i="1" s="1"/>
  <c r="J210" i="1"/>
  <c r="L210" i="1" s="1"/>
  <c r="J67" i="1"/>
  <c r="L67" i="1" s="1"/>
  <c r="J180" i="1"/>
  <c r="L180" i="1" s="1"/>
  <c r="J39" i="1"/>
  <c r="L39" i="1" s="1"/>
  <c r="J938" i="1"/>
  <c r="L938" i="1" s="1"/>
  <c r="J793" i="1"/>
  <c r="L793" i="1" s="1"/>
  <c r="J132" i="1"/>
  <c r="L132" i="1" s="1"/>
  <c r="J345" i="1"/>
  <c r="L345" i="1" s="1"/>
  <c r="J309" i="1"/>
  <c r="L309" i="1" s="1"/>
  <c r="J595" i="1"/>
  <c r="L595" i="1" s="1"/>
  <c r="J436" i="1"/>
  <c r="L436" i="1" s="1"/>
  <c r="J859" i="1"/>
  <c r="L859" i="1" s="1"/>
  <c r="J85" i="1"/>
  <c r="L85" i="1" s="1"/>
  <c r="J98" i="1"/>
  <c r="L98" i="1" s="1"/>
  <c r="J420" i="1"/>
  <c r="L420" i="1" s="1"/>
  <c r="J599" i="1"/>
  <c r="L599" i="1" s="1"/>
  <c r="J947" i="1"/>
  <c r="L947" i="1" s="1"/>
  <c r="J798" i="1"/>
  <c r="L798" i="1" s="1"/>
  <c r="J339" i="1"/>
  <c r="L339" i="1" s="1"/>
  <c r="J807" i="1"/>
  <c r="L807" i="1" s="1"/>
  <c r="J533" i="1"/>
  <c r="L533" i="1" s="1"/>
  <c r="J647" i="1"/>
  <c r="L647" i="1" s="1"/>
  <c r="J805" i="1"/>
  <c r="L805" i="1" s="1"/>
  <c r="J902" i="1"/>
  <c r="L902" i="1" s="1"/>
  <c r="J611" i="1"/>
  <c r="L611" i="1" s="1"/>
  <c r="J702" i="1"/>
  <c r="L702" i="1" s="1"/>
  <c r="J235" i="1"/>
  <c r="L235" i="1" s="1"/>
  <c r="J566" i="1"/>
  <c r="L566" i="1" s="1"/>
  <c r="J598" i="1"/>
  <c r="L598" i="1" s="1"/>
  <c r="J774" i="1"/>
  <c r="L774" i="1" s="1"/>
  <c r="J14" i="1"/>
  <c r="L14" i="1" s="1"/>
  <c r="J301" i="1"/>
  <c r="L301" i="1" s="1"/>
  <c r="J51" i="1"/>
  <c r="L51" i="1" s="1"/>
  <c r="J124" i="1"/>
  <c r="L124" i="1" s="1"/>
  <c r="J142" i="1"/>
  <c r="L142" i="1" s="1"/>
  <c r="J875" i="1"/>
  <c r="L875" i="1" s="1"/>
  <c r="J321" i="1"/>
  <c r="L321" i="1" s="1"/>
  <c r="J564" i="1"/>
  <c r="L564" i="1" s="1"/>
  <c r="J907" i="1"/>
  <c r="L907" i="1" s="1"/>
  <c r="J990" i="1"/>
  <c r="L990" i="1" s="1"/>
  <c r="J12" i="1"/>
  <c r="L12" i="1" s="1"/>
  <c r="J58" i="1"/>
  <c r="L58" i="1" s="1"/>
  <c r="J256" i="1"/>
  <c r="L256" i="1" s="1"/>
  <c r="J949" i="1"/>
  <c r="L949" i="1" s="1"/>
  <c r="J628" i="1"/>
  <c r="L628" i="1" s="1"/>
  <c r="J221" i="1"/>
  <c r="L221" i="1" s="1"/>
  <c r="J862" i="1"/>
  <c r="L862" i="1" s="1"/>
  <c r="J721" i="1"/>
  <c r="L721" i="1" s="1"/>
  <c r="J184" i="1"/>
  <c r="L184" i="1" s="1"/>
  <c r="J20" i="1"/>
  <c r="L20" i="1" s="1"/>
  <c r="J985" i="1"/>
  <c r="L985" i="1" s="1"/>
  <c r="J257" i="1"/>
  <c r="L257" i="1" s="1"/>
  <c r="J26" i="1"/>
  <c r="L26" i="1" s="1"/>
  <c r="J555" i="1"/>
  <c r="L555" i="1" s="1"/>
  <c r="J483" i="1"/>
  <c r="L483" i="1" s="1"/>
  <c r="J620" i="1"/>
  <c r="L620" i="1" s="1"/>
  <c r="J314" i="1"/>
  <c r="L314" i="1" s="1"/>
  <c r="J378" i="1"/>
  <c r="L378" i="1" s="1"/>
  <c r="J139" i="1"/>
  <c r="L139" i="1" s="1"/>
  <c r="J571" i="1"/>
  <c r="L571" i="1" s="1"/>
  <c r="J737" i="1"/>
  <c r="L737" i="1" s="1"/>
  <c r="J554" i="1"/>
  <c r="L554" i="1" s="1"/>
  <c r="J795" i="1"/>
  <c r="L795" i="1" s="1"/>
  <c r="J876" i="1"/>
  <c r="L876" i="1" s="1"/>
  <c r="J423" i="1"/>
  <c r="L423" i="1" s="1"/>
  <c r="J643" i="1"/>
  <c r="L643" i="1" s="1"/>
  <c r="J285" i="1"/>
  <c r="L285" i="1" s="1"/>
  <c r="J238" i="1"/>
  <c r="L238" i="1" s="1"/>
  <c r="J769" i="1"/>
  <c r="L769" i="1" s="1"/>
  <c r="J811" i="1"/>
  <c r="L811" i="1" s="1"/>
  <c r="J232" i="1"/>
  <c r="L232" i="1" s="1"/>
  <c r="J746" i="1"/>
  <c r="L746" i="1" s="1"/>
  <c r="J230" i="1"/>
  <c r="L230" i="1" s="1"/>
  <c r="J246" i="1"/>
  <c r="L246" i="1" s="1"/>
  <c r="J582" i="1"/>
  <c r="L582" i="1" s="1"/>
  <c r="J696" i="1"/>
  <c r="L696" i="1" s="1"/>
  <c r="J267" i="1"/>
  <c r="L267" i="1" s="1"/>
  <c r="J72" i="1"/>
  <c r="L72" i="1" s="1"/>
  <c r="J698" i="1"/>
  <c r="L698" i="1" s="1"/>
</calcChain>
</file>

<file path=xl/sharedStrings.xml><?xml version="1.0" encoding="utf-8"?>
<sst xmlns="http://schemas.openxmlformats.org/spreadsheetml/2006/main" count="4356" uniqueCount="121">
  <si>
    <t>Segment</t>
  </si>
  <si>
    <t>Country</t>
  </si>
  <si>
    <t>Product</t>
  </si>
  <si>
    <t>Discount Band</t>
  </si>
  <si>
    <t>Units Sold</t>
  </si>
  <si>
    <t>Manufacturing Price</t>
  </si>
  <si>
    <t>Sale Price</t>
  </si>
  <si>
    <t>Sales</t>
  </si>
  <si>
    <t>COGS</t>
  </si>
  <si>
    <t>Profit</t>
  </si>
  <si>
    <t>Date</t>
  </si>
  <si>
    <t>Government</t>
  </si>
  <si>
    <t>indonesia</t>
  </si>
  <si>
    <t>Gula Gulaku</t>
  </si>
  <si>
    <t>None</t>
  </si>
  <si>
    <t>14-11-2025</t>
  </si>
  <si>
    <t>BRUNEI</t>
  </si>
  <si>
    <t>Indomie</t>
  </si>
  <si>
    <t>17-07-2025</t>
  </si>
  <si>
    <t>Channel Partners</t>
  </si>
  <si>
    <t>Philippines</t>
  </si>
  <si>
    <t>Nugget Fiesta</t>
  </si>
  <si>
    <t>01-03-2025</t>
  </si>
  <si>
    <t>Midmarket</t>
  </si>
  <si>
    <t>VIETNAM</t>
  </si>
  <si>
    <t>21-01-2025</t>
  </si>
  <si>
    <t>Myanmar</t>
  </si>
  <si>
    <t>Biskuat</t>
  </si>
  <si>
    <t>27-10-2025</t>
  </si>
  <si>
    <t>Enterprise</t>
  </si>
  <si>
    <t>brunei</t>
  </si>
  <si>
    <t>Ultra Milk</t>
  </si>
  <si>
    <t>20-04-2025</t>
  </si>
  <si>
    <t>MALAYSIA</t>
  </si>
  <si>
    <t>Teh Botol</t>
  </si>
  <si>
    <t>18-09-2025</t>
  </si>
  <si>
    <t>Cambodia</t>
  </si>
  <si>
    <t>Sari Roti</t>
  </si>
  <si>
    <t>31-10-2025</t>
  </si>
  <si>
    <t>Vietnam</t>
  </si>
  <si>
    <t>22-06-2025</t>
  </si>
  <si>
    <t>vietnam</t>
  </si>
  <si>
    <t>24-01-2025</t>
  </si>
  <si>
    <t>MYANMAR</t>
  </si>
  <si>
    <t>28-12-2025</t>
  </si>
  <si>
    <t>singapore</t>
  </si>
  <si>
    <t>29-12-2025</t>
  </si>
  <si>
    <t>23-10-2025</t>
  </si>
  <si>
    <t>philippines</t>
  </si>
  <si>
    <t>28-11-2025</t>
  </si>
  <si>
    <t>26-10-2025</t>
  </si>
  <si>
    <t>Laos</t>
  </si>
  <si>
    <t>22-01-2025</t>
  </si>
  <si>
    <t>30-05-2025</t>
  </si>
  <si>
    <t>LAOS</t>
  </si>
  <si>
    <t>03-12-2025</t>
  </si>
  <si>
    <t>cambodia</t>
  </si>
  <si>
    <t>04-01-2025</t>
  </si>
  <si>
    <t>23-03-2025</t>
  </si>
  <si>
    <t>29-05-2025</t>
  </si>
  <si>
    <t>myanmar</t>
  </si>
  <si>
    <t>01-05-2025</t>
  </si>
  <si>
    <t>Brunei</t>
  </si>
  <si>
    <t>Tango</t>
  </si>
  <si>
    <t>16-02-2025</t>
  </si>
  <si>
    <t>THAILAND</t>
  </si>
  <si>
    <t>31-01-2025</t>
  </si>
  <si>
    <t>CAMBODIA</t>
  </si>
  <si>
    <t>Aqua</t>
  </si>
  <si>
    <t>01-02-2025</t>
  </si>
  <si>
    <t>malaysia</t>
  </si>
  <si>
    <t>14-12-2025</t>
  </si>
  <si>
    <t>26-03-2025</t>
  </si>
  <si>
    <t>02-09-2025</t>
  </si>
  <si>
    <t>29-10-2025</t>
  </si>
  <si>
    <t>17-04-2025</t>
  </si>
  <si>
    <t>16-07-2025</t>
  </si>
  <si>
    <t>Indonesia</t>
  </si>
  <si>
    <t>15-07-2025</t>
  </si>
  <si>
    <t>Chitato</t>
  </si>
  <si>
    <t>29-07-2025</t>
  </si>
  <si>
    <t>03-06-2025</t>
  </si>
  <si>
    <t>15-12-2025</t>
  </si>
  <si>
    <t>17-12-2025</t>
  </si>
  <si>
    <t>SINGAPORE</t>
  </si>
  <si>
    <t>22-12-2025</t>
  </si>
  <si>
    <t>27-06-2025</t>
  </si>
  <si>
    <t>15-08-2025</t>
  </si>
  <si>
    <t>Singapore</t>
  </si>
  <si>
    <t>PHILIPPINES</t>
  </si>
  <si>
    <t>11-06-2025</t>
  </si>
  <si>
    <t>05-02-2025</t>
  </si>
  <si>
    <t>20-05-2025</t>
  </si>
  <si>
    <t>laos</t>
  </si>
  <si>
    <t>14-01-2025</t>
  </si>
  <si>
    <t>07-12-2025</t>
  </si>
  <si>
    <t>27-09-2025</t>
  </si>
  <si>
    <t>Thailand</t>
  </si>
  <si>
    <t>Malaysia</t>
  </si>
  <si>
    <t>%Profit</t>
  </si>
  <si>
    <t>Grand Total</t>
  </si>
  <si>
    <t>Sum of Sales</t>
  </si>
  <si>
    <t>Sum of COGS</t>
  </si>
  <si>
    <t>Sum of Profit</t>
  </si>
  <si>
    <t>Product Name</t>
  </si>
  <si>
    <t>DASHBOARD SALES MINIMARKET</t>
  </si>
  <si>
    <t>PERIODE TAHUN 2025</t>
  </si>
  <si>
    <t>Sum of Units Sold</t>
  </si>
  <si>
    <t>Jan</t>
  </si>
  <si>
    <t>Feb</t>
  </si>
  <si>
    <t>Mar</t>
  </si>
  <si>
    <t>Apr</t>
  </si>
  <si>
    <t>May</t>
  </si>
  <si>
    <t>Jun</t>
  </si>
  <si>
    <t>Jul</t>
  </si>
  <si>
    <t>Aug</t>
  </si>
  <si>
    <t>Sep</t>
  </si>
  <si>
    <t>Oct</t>
  </si>
  <si>
    <t>Nov</t>
  </si>
  <si>
    <t>Dec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</si>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</sst>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F800]dddd\,\ mmmm\ dd\,\ yyyy"/>
    <numFmt numFmtId="165" formatCode="_-* #,##0_-;\-* #,##0_-;_-* &quot;-&quot;??_-;_-@_-"/>
    <numFmt numFmtId="166" formatCode="&quot;Rp&quot;\ #,##0"/>
    <numFmt numFmtId="167" formatCode="[$-13809]d\ mmm\ yyyy;@"/>
    <numFmt numFmtId="169" formatCode="\ #,##0"/>
    <numFmt numFmtId="171" formatCode="#,##0,.\1&quot;K&quot;"/>
  </numFmts>
  <fonts count="6">
    <font>
      <sz val="11"/>
      <color theme="1"/>
      <name val="Calibri"/>
      <family val="2"/>
      <scheme val="minor"/>
    </font>
    <font>
      <sz val="11"/>
      <color theme="1"/>
      <name val="Calibri"/>
      <family val="2"/>
      <scheme val="minor"/>
    </font>
    <font>
      <sz val="11"/>
      <color theme="1" tint="4.9989318521683403E-2"/>
      <name val="Calibri"/>
      <family val="2"/>
      <scheme val="minor"/>
    </font>
    <font>
      <b/>
      <sz val="14"/>
      <color theme="0"/>
      <name val="League spartan"/>
    </font>
    <font>
      <b/>
      <sz val="13"/>
      <color theme="0" tint="-0.34998626667073579"/>
      <name val="League spartan"/>
    </font>
    <font>
      <sz val="1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249977111117893"/>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5">
    <xf numFmtId="0" fontId="0" fillId="0" borderId="0" xfId="0"/>
    <xf numFmtId="0" fontId="0" fillId="0" borderId="1" xfId="0" applyBorder="1"/>
    <xf numFmtId="0" fontId="0" fillId="0" borderId="1" xfId="0" applyBorder="1" applyAlignment="1">
      <alignment indent="2"/>
    </xf>
    <xf numFmtId="0" fontId="0" fillId="0" borderId="0" xfId="0" applyAlignment="1">
      <alignment indent="2"/>
    </xf>
    <xf numFmtId="2" fontId="0" fillId="0" borderId="0" xfId="0" applyNumberFormat="1"/>
    <xf numFmtId="2" fontId="0" fillId="0" borderId="1" xfId="0" applyNumberFormat="1" applyBorder="1"/>
    <xf numFmtId="164" fontId="0" fillId="0" borderId="1" xfId="0" applyNumberFormat="1" applyBorder="1"/>
    <xf numFmtId="165" fontId="0" fillId="0" borderId="0" xfId="1" applyNumberFormat="1" applyFont="1"/>
    <xf numFmtId="166" fontId="0" fillId="0" borderId="0" xfId="0" applyNumberFormat="1"/>
    <xf numFmtId="167" fontId="0" fillId="0" borderId="0" xfId="0" applyNumberFormat="1"/>
    <xf numFmtId="9" fontId="0" fillId="0" borderId="0" xfId="2" applyFont="1"/>
    <xf numFmtId="0" fontId="0" fillId="0" borderId="0" xfId="0" pivotButton="1"/>
    <xf numFmtId="0" fontId="0" fillId="0" borderId="0" xfId="0" applyAlignment="1">
      <alignment horizontal="left"/>
    </xf>
    <xf numFmtId="0" fontId="0" fillId="2" borderId="0" xfId="0" applyFill="1"/>
    <xf numFmtId="0" fontId="0" fillId="3" borderId="0" xfId="0" applyFill="1" applyAlignment="1">
      <alignment horizontal="centerContinuous"/>
    </xf>
    <xf numFmtId="0" fontId="0" fillId="3" borderId="0" xfId="0" applyFill="1"/>
    <xf numFmtId="0" fontId="2" fillId="3" borderId="0" xfId="0" applyFont="1" applyFill="1" applyAlignment="1">
      <alignment horizontal="centerContinuous"/>
    </xf>
    <xf numFmtId="0" fontId="3" fillId="3" borderId="0" xfId="0" applyFont="1" applyFill="1" applyAlignment="1">
      <alignment horizontal="centerContinuous"/>
    </xf>
    <xf numFmtId="0" fontId="0" fillId="0" borderId="0" xfId="0" applyFill="1"/>
    <xf numFmtId="0" fontId="4" fillId="3" borderId="0" xfId="0" applyFont="1" applyFill="1" applyAlignment="1">
      <alignment horizontal="centerContinuous"/>
    </xf>
    <xf numFmtId="0" fontId="5" fillId="0" borderId="0" xfId="0" applyFont="1" applyFill="1"/>
    <xf numFmtId="0" fontId="0" fillId="0" borderId="2" xfId="0" applyBorder="1" applyAlignment="1">
      <alignment horizontal="left"/>
    </xf>
    <xf numFmtId="166" fontId="0" fillId="0" borderId="2" xfId="0" applyNumberForma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169" fontId="0" fillId="0" borderId="0" xfId="0" applyNumberFormat="1"/>
    <xf numFmtId="167" fontId="0" fillId="0" borderId="0" xfId="0" applyNumberFormat="1" applyAlignment="1">
      <alignment horizontal="left"/>
    </xf>
    <xf numFmtId="171" fontId="0" fillId="0" borderId="0" xfId="0" applyNumberFormat="1"/>
  </cellXfs>
  <cellStyles count="3">
    <cellStyle name="Comma" xfId="1" builtinId="3"/>
    <cellStyle name="Normal" xfId="0" builtinId="0"/>
    <cellStyle name="Percent" xfId="2" builtinId="5"/>
  </cellStyles>
  <dxfs count="257">
    <dxf>
      <font>
        <color rgb="FF9C0006"/>
      </font>
      <fill>
        <patternFill>
          <bgColor rgb="FFFFC7CE"/>
        </patternFill>
      </fill>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66" formatCode="&quot;Rp&quot;\ #,##0"/>
    </dxf>
    <dxf>
      <border>
        <bottom style="thin">
          <color indexed="64"/>
        </bottom>
      </border>
    </dxf>
    <dxf>
      <border>
        <bottom style="thin">
          <color indexed="64"/>
        </bottom>
      </border>
    </dxf>
    <dxf>
      <numFmt numFmtId="166" formatCode="&quot;Rp&quot;\ #,##0"/>
    </dxf>
    <dxf>
      <numFmt numFmtId="166" formatCode="&quot;Rp&quot;\ #,##0"/>
    </dxf>
    <dxf>
      <numFmt numFmtId="169" formatCode="\ #,##0"/>
    </dxf>
    <dxf>
      <numFmt numFmtId="171" formatCode="#,##0,.\1&quot;K&quot;"/>
    </dxf>
    <dxf>
      <numFmt numFmtId="171" formatCode="#,##0,.\1&quot;K&quot;"/>
    </dxf>
    <dxf>
      <numFmt numFmtId="171" formatCode="#,##0,.\1&quot;K&quot;"/>
    </dxf>
    <dxf>
      <numFmt numFmtId="171" formatCode="#,##0,.\1&quot;K&quot;"/>
    </dxf>
    <dxf>
      <numFmt numFmtId="169" formatCode="\ #,##0"/>
    </dxf>
    <dxf>
      <border>
        <bottom style="thin">
          <color indexed="64"/>
        </bottom>
      </border>
    </dxf>
    <dxf>
      <border>
        <bottom style="thin">
          <color indexed="64"/>
        </bottom>
      </border>
    </dxf>
    <dxf>
      <numFmt numFmtId="166" formatCode="&quot;Rp&quot;\ #,##0"/>
    </dxf>
    <dxf>
      <numFmt numFmtId="166" formatCode="&quot;Rp&quot;\ #,##0"/>
    </dxf>
    <dxf>
      <numFmt numFmtId="166" formatCode="&quot;Rp&quot;\ #,##0"/>
    </dxf>
    <dxf>
      <numFmt numFmtId="167" formatCode="[$-13809]d\ mmm\ yyyy;@"/>
    </dxf>
    <dxf>
      <numFmt numFmtId="166" formatCode="&quot;Rp&quot;\ #,##0"/>
    </dxf>
    <dxf>
      <numFmt numFmtId="166" formatCode="&quot;Rp&quot;\ #,##0"/>
    </dxf>
    <dxf>
      <numFmt numFmtId="166" formatCode="&quot;Rp&quot;\ #,##0"/>
    </dxf>
    <dxf>
      <numFmt numFmtId="166" formatCode="&quot;Rp&quot;\ #,##0"/>
    </dxf>
    <dxf>
      <numFmt numFmtId="166" formatCode="&quot;Rp&quot;\ #,##0"/>
    </dxf>
    <dxf>
      <font>
        <b val="0"/>
        <i val="0"/>
        <strike val="0"/>
        <condense val="0"/>
        <extend val="0"/>
        <outline val="0"/>
        <shadow val="0"/>
        <u val="none"/>
        <vertAlign val="baseline"/>
        <sz val="11"/>
        <color theme="1"/>
        <name val="Calibri"/>
        <family val="2"/>
        <scheme val="minor"/>
      </font>
      <numFmt numFmtId="165" formatCode="_-* #,##0_-;\-* #,##0_-;_-* &quot;-&quot;??_-;_-@_-"/>
    </dxf>
    <dxf>
      <numFmt numFmtId="166" formatCode="&quot;Rp&quot;\ #,##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sales minimarket.xlsx]Calculation!PivotTable4</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200" b="1">
                <a:solidFill>
                  <a:schemeClr val="accent1">
                    <a:lumMod val="50000"/>
                  </a:schemeClr>
                </a:solidFill>
                <a:latin typeface="Lato" panose="020F0502020204030203" pitchFamily="34" charset="0"/>
                <a:ea typeface="Lato" panose="020F0502020204030203" pitchFamily="34" charset="0"/>
                <a:cs typeface="Lato" panose="020F0502020204030203" pitchFamily="34" charset="0"/>
              </a:rPr>
              <a:t>Quantity Sold</a:t>
            </a:r>
            <a:r>
              <a:rPr lang="en-US" sz="1200" b="1" baseline="0">
                <a:solidFill>
                  <a:schemeClr val="accent1">
                    <a:lumMod val="50000"/>
                  </a:schemeClr>
                </a:solidFill>
                <a:latin typeface="Lato" panose="020F0502020204030203" pitchFamily="34" charset="0"/>
                <a:ea typeface="Lato" panose="020F0502020204030203" pitchFamily="34" charset="0"/>
                <a:cs typeface="Lato" panose="020F0502020204030203" pitchFamily="34" charset="0"/>
              </a:rPr>
              <a:t> in 2025</a:t>
            </a:r>
            <a:endParaRPr lang="en-US" sz="1200" b="1">
              <a:solidFill>
                <a:schemeClr val="accent1">
                  <a:lumMod val="50000"/>
                </a:schemeClr>
              </a:solidFill>
              <a:latin typeface="Lato" panose="020F0502020204030203" pitchFamily="34" charset="0"/>
              <a:ea typeface="Lato" panose="020F0502020204030203" pitchFamily="34" charset="0"/>
              <a:cs typeface="Lato" panose="020F050202020403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bg1"/>
            </a:solidFill>
            <a:ln w="9525" cap="flat" cmpd="sng" algn="ctr">
              <a:solidFill>
                <a:schemeClr val="accent1">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83814523184599E-2"/>
          <c:y val="0.20647373430630464"/>
          <c:w val="0.93184908136482936"/>
          <c:h val="0.63823550741059698"/>
        </c:manualLayout>
      </c:layout>
      <c:lineChart>
        <c:grouping val="standard"/>
        <c:varyColors val="0"/>
        <c:ser>
          <c:idx val="0"/>
          <c:order val="0"/>
          <c:tx>
            <c:strRef>
              <c:f>Calculation!$B$31</c:f>
              <c:strCache>
                <c:ptCount val="1"/>
                <c:pt idx="0">
                  <c:v>Total</c:v>
                </c:pt>
              </c:strCache>
            </c:strRef>
          </c:tx>
          <c:spPr>
            <a:ln w="22225" cap="rnd" cmpd="sng" algn="ctr">
              <a:solidFill>
                <a:schemeClr val="accent1"/>
              </a:solidFill>
              <a:round/>
            </a:ln>
            <a:effectLst/>
          </c:spPr>
          <c:marker>
            <c:symbol val="circle"/>
            <c:size val="4"/>
            <c:spPr>
              <a:solidFill>
                <a:schemeClr val="bg1"/>
              </a:solidFill>
              <a:ln w="9525" cap="flat" cmpd="sng" algn="ctr">
                <a:solidFill>
                  <a:schemeClr val="accent1">
                    <a:lumMod val="7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Calculation!$A$32:$A$43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Calculation!$B$32:$B$43</c:f>
              <c:numCache>
                <c:formatCode>#,##0,.\1"K"</c:formatCode>
                <c:ptCount val="12"/>
                <c:pt idx="0">
                  <c:v>136124</c:v>
                </c:pt>
                <c:pt idx="1">
                  <c:v>106894</c:v>
                </c:pt>
                <c:pt idx="2">
                  <c:v>126579</c:v>
                </c:pt>
                <c:pt idx="3">
                  <c:v>112823</c:v>
                </c:pt>
                <c:pt idx="4">
                  <c:v>119911</c:v>
                </c:pt>
                <c:pt idx="5">
                  <c:v>132154</c:v>
                </c:pt>
                <c:pt idx="6">
                  <c:v>137842</c:v>
                </c:pt>
                <c:pt idx="7">
                  <c:v>148049</c:v>
                </c:pt>
                <c:pt idx="8">
                  <c:v>117963</c:v>
                </c:pt>
                <c:pt idx="9">
                  <c:v>125315</c:v>
                </c:pt>
                <c:pt idx="10">
                  <c:v>130882</c:v>
                </c:pt>
                <c:pt idx="11">
                  <c:v>139267</c:v>
                </c:pt>
              </c:numCache>
            </c:numRef>
          </c:val>
          <c:smooth val="1"/>
          <c:extLst>
            <c:ext xmlns:c16="http://schemas.microsoft.com/office/drawing/2014/chart" uri="{C3380CC4-5D6E-409C-BE32-E72D297353CC}">
              <c16:uniqueId val="{00000000-B7B1-4064-996C-3A05FF821FAB}"/>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789482399"/>
        <c:axId val="1789484063"/>
      </c:lineChart>
      <c:catAx>
        <c:axId val="1789482399"/>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89484063"/>
        <c:crosses val="autoZero"/>
        <c:auto val="1"/>
        <c:lblAlgn val="ctr"/>
        <c:lblOffset val="100"/>
        <c:noMultiLvlLbl val="0"/>
      </c:catAx>
      <c:valAx>
        <c:axId val="1789484063"/>
        <c:scaling>
          <c:orientation val="minMax"/>
        </c:scaling>
        <c:delete val="1"/>
        <c:axPos val="l"/>
        <c:numFmt formatCode="#,##0,.\1&quot;K&quot;" sourceLinked="1"/>
        <c:majorTickMark val="out"/>
        <c:minorTickMark val="none"/>
        <c:tickLblPos val="nextTo"/>
        <c:crossAx val="1789482399"/>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sales minimarket.xlsx]Calculation!PivotTable5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7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7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hade val="86000"/>
            </a:schemeClr>
          </a:solidFill>
          <a:ln>
            <a:noFill/>
          </a:ln>
          <a:effectLst/>
        </c:spPr>
        <c:dLbl>
          <c:idx val="0"/>
          <c:tx>
            <c:rich>
              <a:bodyPr rot="0" spcFirstLastPara="1" vertOverflow="ellipsis" vert="horz" wrap="square" lIns="38100" tIns="19050" rIns="38100" bIns="19050" anchor="ctr" anchorCtr="0">
                <a:spAutoFit/>
              </a:bodyPr>
              <a:lstStyle/>
              <a:p>
                <a:pPr algn="ctr" rtl="0">
                  <a:defRPr lang="en-US" sz="700" b="1" i="0" u="none" strike="noStrike" kern="1200" baseline="0">
                    <a:solidFill>
                      <a:schemeClr val="bg1"/>
                    </a:solidFill>
                    <a:latin typeface="+mn-lt"/>
                    <a:ea typeface="+mn-ea"/>
                    <a:cs typeface="+mn-cs"/>
                  </a:defRPr>
                </a:pPr>
                <a:fld id="{35DD8AF6-4E53-400C-8A02-BF30A677CF30}" type="VALUE">
                  <a:rPr lang="en-US" sz="700" b="1" i="0" u="none" strike="noStrike" kern="1200" baseline="0">
                    <a:solidFill>
                      <a:schemeClr val="bg1"/>
                    </a:solidFill>
                    <a:latin typeface="+mn-lt"/>
                    <a:ea typeface="+mn-ea"/>
                    <a:cs typeface="+mn-cs"/>
                  </a:rPr>
                  <a:pPr algn="ctr" rtl="0">
                    <a:defRPr lang="en-US" sz="700" b="1" i="0" u="none" strike="noStrike" kern="1200" baseline="0">
                      <a:solidFill>
                        <a:schemeClr val="bg1"/>
                      </a:solidFill>
                      <a:latin typeface="+mn-lt"/>
                      <a:ea typeface="+mn-ea"/>
                      <a:cs typeface="+mn-cs"/>
                    </a:defRPr>
                  </a:pPr>
                  <a:t>[VALUE]</a:t>
                </a:fld>
                <a:endParaRPr lang="en-ID"/>
              </a:p>
            </c:rich>
          </c:tx>
          <c:spPr>
            <a:noFill/>
            <a:ln>
              <a:noFill/>
            </a:ln>
            <a:effectLst/>
          </c:spPr>
          <c:txPr>
            <a:bodyPr rot="0" spcFirstLastPara="1" vertOverflow="ellipsis" vert="horz" wrap="square" lIns="38100" tIns="19050" rIns="38100" bIns="19050" anchor="ctr" anchorCtr="0">
              <a:spAutoFit/>
            </a:bodyPr>
            <a:lstStyle/>
            <a:p>
              <a:pPr algn="ctr" rtl="0">
                <a:defRPr lang="en-US" sz="7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Calculation!$F$31:$F$32</c:f>
              <c:strCache>
                <c:ptCount val="1"/>
                <c:pt idx="0">
                  <c:v>Channel Partners</c:v>
                </c:pt>
              </c:strCache>
            </c:strRef>
          </c:tx>
          <c:spPr>
            <a:solidFill>
              <a:schemeClr val="accent1">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7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Calculation!$E$33:$E$44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Calculation!$F$33:$F$44</c:f>
              <c:numCache>
                <c:formatCode>#,##0,.\1"K"</c:formatCode>
                <c:ptCount val="12"/>
                <c:pt idx="0">
                  <c:v>30029</c:v>
                </c:pt>
                <c:pt idx="1">
                  <c:v>20167</c:v>
                </c:pt>
                <c:pt idx="2">
                  <c:v>36223</c:v>
                </c:pt>
                <c:pt idx="3">
                  <c:v>22172</c:v>
                </c:pt>
                <c:pt idx="4">
                  <c:v>36359</c:v>
                </c:pt>
                <c:pt idx="5">
                  <c:v>18562</c:v>
                </c:pt>
                <c:pt idx="6">
                  <c:v>44998</c:v>
                </c:pt>
                <c:pt idx="7">
                  <c:v>40705</c:v>
                </c:pt>
                <c:pt idx="8">
                  <c:v>19742</c:v>
                </c:pt>
                <c:pt idx="9">
                  <c:v>26595</c:v>
                </c:pt>
                <c:pt idx="10">
                  <c:v>40866</c:v>
                </c:pt>
                <c:pt idx="11">
                  <c:v>33164</c:v>
                </c:pt>
              </c:numCache>
            </c:numRef>
          </c:val>
          <c:extLst>
            <c:ext xmlns:c16="http://schemas.microsoft.com/office/drawing/2014/chart" uri="{C3380CC4-5D6E-409C-BE32-E72D297353CC}">
              <c16:uniqueId val="{00000000-76D8-4E08-8A7A-28553EC85419}"/>
            </c:ext>
          </c:extLst>
        </c:ser>
        <c:ser>
          <c:idx val="1"/>
          <c:order val="1"/>
          <c:tx>
            <c:strRef>
              <c:f>Calculation!$G$31:$G$32</c:f>
              <c:strCache>
                <c:ptCount val="1"/>
                <c:pt idx="0">
                  <c:v>Enterprise</c:v>
                </c:pt>
              </c:strCache>
            </c:strRef>
          </c:tx>
          <c:spPr>
            <a:solidFill>
              <a:schemeClr val="accent1">
                <a:shade val="86000"/>
              </a:schemeClr>
            </a:solidFill>
            <a:ln>
              <a:noFill/>
            </a:ln>
            <a:effectLst/>
          </c:spPr>
          <c:invertIfNegative val="0"/>
          <c:dLbls>
            <c:dLbl>
              <c:idx val="0"/>
              <c:tx>
                <c:rich>
                  <a:bodyPr/>
                  <a:lstStyle/>
                  <a:p>
                    <a:fld id="{35DD8AF6-4E53-400C-8A02-BF30A677CF30}" type="VALUE">
                      <a:rPr lang="en-US" sz="700" b="1" i="0" u="none" strike="noStrike" kern="1200" baseline="0">
                        <a:solidFill>
                          <a:schemeClr val="bg1"/>
                        </a:solidFill>
                        <a:latin typeface="+mn-lt"/>
                        <a:ea typeface="+mn-ea"/>
                        <a:cs typeface="+mn-cs"/>
                      </a:rPr>
                      <a:pPr/>
                      <a:t>[VALUE]</a:t>
                    </a:fld>
                    <a:endParaRPr lang="en-ID"/>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0">
                <a:spAutoFit/>
              </a:bodyPr>
              <a:lstStyle/>
              <a:p>
                <a:pPr algn="ctr" rtl="0">
                  <a:defRPr lang="en-US" sz="7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Calculation!$E$33:$E$44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Calculation!$G$33:$G$44</c:f>
              <c:numCache>
                <c:formatCode>#,##0,.\1"K"</c:formatCode>
                <c:ptCount val="12"/>
                <c:pt idx="0">
                  <c:v>47890</c:v>
                </c:pt>
                <c:pt idx="1">
                  <c:v>31271</c:v>
                </c:pt>
                <c:pt idx="2">
                  <c:v>36627</c:v>
                </c:pt>
                <c:pt idx="3">
                  <c:v>24389</c:v>
                </c:pt>
                <c:pt idx="4">
                  <c:v>28967</c:v>
                </c:pt>
                <c:pt idx="5">
                  <c:v>35855</c:v>
                </c:pt>
                <c:pt idx="6">
                  <c:v>12384</c:v>
                </c:pt>
                <c:pt idx="7">
                  <c:v>46095</c:v>
                </c:pt>
                <c:pt idx="8">
                  <c:v>30387</c:v>
                </c:pt>
                <c:pt idx="9">
                  <c:v>39612</c:v>
                </c:pt>
                <c:pt idx="10">
                  <c:v>30512</c:v>
                </c:pt>
                <c:pt idx="11">
                  <c:v>23522</c:v>
                </c:pt>
              </c:numCache>
            </c:numRef>
          </c:val>
          <c:extLst>
            <c:ext xmlns:c16="http://schemas.microsoft.com/office/drawing/2014/chart" uri="{C3380CC4-5D6E-409C-BE32-E72D297353CC}">
              <c16:uniqueId val="{00000009-76D8-4E08-8A7A-28553EC85419}"/>
            </c:ext>
          </c:extLst>
        </c:ser>
        <c:ser>
          <c:idx val="2"/>
          <c:order val="2"/>
          <c:tx>
            <c:strRef>
              <c:f>Calculation!$H$31:$H$32</c:f>
              <c:strCache>
                <c:ptCount val="1"/>
                <c:pt idx="0">
                  <c:v>Government</c:v>
                </c:pt>
              </c:strCache>
            </c:strRef>
          </c:tx>
          <c:spPr>
            <a:solidFill>
              <a:schemeClr val="accent1">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Calculation!$E$33:$E$44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Calculation!$H$33:$H$44</c:f>
              <c:numCache>
                <c:formatCode>#,##0,.\1"K"</c:formatCode>
                <c:ptCount val="12"/>
                <c:pt idx="0">
                  <c:v>15876</c:v>
                </c:pt>
                <c:pt idx="1">
                  <c:v>30435</c:v>
                </c:pt>
                <c:pt idx="2">
                  <c:v>28428</c:v>
                </c:pt>
                <c:pt idx="3">
                  <c:v>23400</c:v>
                </c:pt>
                <c:pt idx="4">
                  <c:v>28528</c:v>
                </c:pt>
                <c:pt idx="5">
                  <c:v>36649</c:v>
                </c:pt>
                <c:pt idx="6">
                  <c:v>36741</c:v>
                </c:pt>
                <c:pt idx="7">
                  <c:v>32334</c:v>
                </c:pt>
                <c:pt idx="8">
                  <c:v>31107</c:v>
                </c:pt>
                <c:pt idx="9">
                  <c:v>23706</c:v>
                </c:pt>
                <c:pt idx="10">
                  <c:v>35107</c:v>
                </c:pt>
                <c:pt idx="11">
                  <c:v>31265</c:v>
                </c:pt>
              </c:numCache>
            </c:numRef>
          </c:val>
          <c:extLst>
            <c:ext xmlns:c16="http://schemas.microsoft.com/office/drawing/2014/chart" uri="{C3380CC4-5D6E-409C-BE32-E72D297353CC}">
              <c16:uniqueId val="{0000000A-76D8-4E08-8A7A-28553EC85419}"/>
            </c:ext>
          </c:extLst>
        </c:ser>
        <c:ser>
          <c:idx val="3"/>
          <c:order val="3"/>
          <c:tx>
            <c:strRef>
              <c:f>Calculation!$I$31:$I$32</c:f>
              <c:strCache>
                <c:ptCount val="1"/>
                <c:pt idx="0">
                  <c:v>Midmarket</c:v>
                </c:pt>
              </c:strCache>
            </c:strRef>
          </c:tx>
          <c:spPr>
            <a:solidFill>
              <a:schemeClr val="accent1">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Calculation!$E$33:$E$44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Calculation!$I$33:$I$44</c:f>
              <c:numCache>
                <c:formatCode>#,##0,.\1"K"</c:formatCode>
                <c:ptCount val="12"/>
                <c:pt idx="0">
                  <c:v>42329</c:v>
                </c:pt>
                <c:pt idx="1">
                  <c:v>25021</c:v>
                </c:pt>
                <c:pt idx="2">
                  <c:v>25301</c:v>
                </c:pt>
                <c:pt idx="3">
                  <c:v>42862</c:v>
                </c:pt>
                <c:pt idx="4">
                  <c:v>26057</c:v>
                </c:pt>
                <c:pt idx="5">
                  <c:v>41088</c:v>
                </c:pt>
                <c:pt idx="6">
                  <c:v>43719</c:v>
                </c:pt>
                <c:pt idx="7">
                  <c:v>28915</c:v>
                </c:pt>
                <c:pt idx="8">
                  <c:v>36727</c:v>
                </c:pt>
                <c:pt idx="9">
                  <c:v>35402</c:v>
                </c:pt>
                <c:pt idx="10">
                  <c:v>24397</c:v>
                </c:pt>
                <c:pt idx="11">
                  <c:v>51316</c:v>
                </c:pt>
              </c:numCache>
            </c:numRef>
          </c:val>
          <c:extLst>
            <c:ext xmlns:c16="http://schemas.microsoft.com/office/drawing/2014/chart" uri="{C3380CC4-5D6E-409C-BE32-E72D297353CC}">
              <c16:uniqueId val="{0000000B-76D8-4E08-8A7A-28553EC85419}"/>
            </c:ext>
          </c:extLst>
        </c:ser>
        <c:dLbls>
          <c:dLblPos val="ctr"/>
          <c:showLegendKey val="0"/>
          <c:showVal val="1"/>
          <c:showCatName val="0"/>
          <c:showSerName val="0"/>
          <c:showPercent val="0"/>
          <c:showBubbleSize val="0"/>
        </c:dLbls>
        <c:gapWidth val="30"/>
        <c:overlap val="100"/>
        <c:axId val="1676118079"/>
        <c:axId val="1676113087"/>
      </c:barChart>
      <c:catAx>
        <c:axId val="167611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113087"/>
        <c:crosses val="autoZero"/>
        <c:auto val="1"/>
        <c:lblAlgn val="ctr"/>
        <c:lblOffset val="100"/>
        <c:noMultiLvlLbl val="0"/>
      </c:catAx>
      <c:valAx>
        <c:axId val="1676113087"/>
        <c:scaling>
          <c:orientation val="minMax"/>
        </c:scaling>
        <c:delete val="1"/>
        <c:axPos val="l"/>
        <c:numFmt formatCode="0%" sourceLinked="1"/>
        <c:majorTickMark val="none"/>
        <c:minorTickMark val="none"/>
        <c:tickLblPos val="nextTo"/>
        <c:crossAx val="16761180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Quantity Sold by Country</cx:v>
        </cx:txData>
      </cx:tx>
      <cx:txPr>
        <a:bodyPr spcFirstLastPara="1" vertOverflow="ellipsis" horzOverflow="overflow" wrap="square" lIns="0" tIns="0" rIns="0" bIns="0" anchor="ctr" anchorCtr="1"/>
        <a:lstStyle/>
        <a:p>
          <a:pPr algn="ctr" rtl="0">
            <a:defRPr/>
          </a:pPr>
          <a:r>
            <a:rPr lang="en-US" sz="1200" b="1" i="0" u="none" strike="noStrike" baseline="0">
              <a:solidFill>
                <a:schemeClr val="accent1">
                  <a:lumMod val="50000"/>
                </a:schemeClr>
              </a:solidFill>
              <a:latin typeface="Lato" panose="020F0502020204030203" pitchFamily="34" charset="0"/>
              <a:ea typeface="Lato" panose="020F0502020204030203" pitchFamily="34" charset="0"/>
              <a:cs typeface="Lato" panose="020F0502020204030203" pitchFamily="34" charset="0"/>
            </a:rPr>
            <a:t>Quantity Sold by Country</a:t>
          </a:r>
        </a:p>
      </cx:txPr>
    </cx:title>
    <cx:plotArea>
      <cx:plotAreaRegion>
        <cx:series layoutId="regionMap" uniqueId="{09710464-F200-4E56-8F49-ADEB20EBD039}">
          <cx:tx>
            <cx:txData>
              <cx:f>_xlchart.v5.2</cx:f>
              <cx:v>Sum of Units Sold</cx:v>
            </cx:txData>
          </cx:tx>
          <cx:dataId val="0"/>
          <cx:layoutPr>
            <cx:regionLabelLayout val="bestFitOnly"/>
            <cx:geography viewedRegionType="dataOnly" cultureLanguage="en-US" cultureRegion="ID" attribution="Powered by Bing">
              <cx:geoCache provider="{E9337A44-BEBE-4D9F-B70C-5C5E7DAFC167}">
                <cx:binary>zHpbk5022u5fSeV64wghJJiafFUfq3t1+3yKnUxuqLbjgEAgIcRB/Pr9qMGJveJxsmunaqYvjBcg
9Oo9PO/xn+/Xf7xXH+7sN2un+vEf79fvv62dM//47rvxff2huxsfdPK91aP+1T14r7vv9K+/yvcf
vvvF3i2yr76jJGbfva/vrPuwfvs//8TXqg/6iX5/56TuX04frH/1YZyUG7/y7IuPvnmvp96F5RW+
9P23hZ36D/Lbbz70Tjr/gzcfvv/2s1e+/ea7yw/9YdNvFOhy0y9Yyx6wnMcJyZN8/+PffqN0Xx2P
45g94DTPRBpnHzd9dtdh4Z8Tck/G3S+/2A/j+M1x/X3dZ0T/fluO+rSf+KQDfcWz+wN99zlH/+ef
FzdwxIs7nzD9kh9/9uiS50/u9Pjx8P//HI8zsJwxEuf0YPnnHCfJA8HzJKFZ/nHTneN/RsaX+b2v
uuD2fvOS10/+9z/P69Nd907/Iu8+Hv1v4Dd9kDKwM+bxBaPZgyxmLI+p+Ljbzui/QsOXmf37yguG
//7gkumPb//zTH/Y/6L7D+PfyfWIPMgzIpI8zsjxxz5nP5AljoE8KT2g53Mh/CWaviyFT5ZeiOGT
J5dyeHj1n5fD0zt15/9WMbAHKbBEpGn8ZSEQ+oDylGecsPsXYCK7Z9kt4a8Q9GUZ/L7yQgS/P7iU
wNN//RdIwN/13Z39yIW/AX3Eg1ikhGVZskvgcxDK0wfBCfA4S/fH6cetDwH8OT3/hv8fF16y/+P9
P3D/6X+e+y9qqaQxElj0kQ1/gwT4gzxNEsLp5/hD4wdJzmlCEfF8qvN/kYgvs/2zxRes/+zZJftf
/Be4gdeIZO+Mth8+MuRvYP6DJBUxEeQC/BHkZHEeQs9d7y9w5y9R8mUJfLL0gv+fPLnk/uub/7zy
/1DfSXXX//I3Mh8BTi4QZ36u+IQ8yBIqkiS+AJu/QsGXmf77ygue//7gkuU//Bco/Fv5wfV33d/I
ccA55ZynyeFvP0d7GMKDnKckE1n+JXf7F+j5Mv9/W3jB/t/uX3L/7d+SVv37lOu3lPPqzt1d3+eq
n2RdX396f0SkzxdLL1JefLMHbH+U3cNfvv+WxhQp02/pb1j/GbL/7yeh1e/vf7gb3fffRjHPH6Q5
oYLAHSMdFjCO5UN4RPkDwnkWUnwGySYwp15bV3//rRBAsRgRLtJkwbAKKDfqKTyKYvIgYcA9EguO
KJgT+ltd4IVWvtL9b1w4fn/TT90LLXs3fv9tjE3M/lqglPGEpZwzHsNhJTwXCRTLvL97BcQOb/8f
NSymI/VGmkLNahjlTW/jnA/nmsQ+mR/NeijxS7dECHFyLOrxCsoR/VBdr9y71bwSU683e/azXji5
HtJl7JodFvfc+wtU5uSCykxQAfblPOEipiy9oLJKV28ln6Jft6FMGv8wVmvcqSJZuioTJ5yqX/JC
85FV9FZX2Ry9HiK5RK+1T9plfsITGvmlaLRrtqXIl6lh7l3Ztj1OmBtKsMqufY1npfMbPlwTzdun
fnKtGM627OZRn/PE5NZeWbPmuT157ms845lc8H46u0CIFSm39u1GlzZeXza2Zn2SFcoZA874KQs7
ZImZwi89suFd7WSNdVWmojkvhnQiw7ukoj2+7Cet8aipF4WztbYJu06k9tjO5WOJ89CpkvObKs3H
+aQmmQzvzDCR8NzVMd6u076E1HZWDHRDiaqYysSCgXociJger7QdTf2S55Z2yzkSvmrpzWClzKdH
vZBBkmnab2OePiznmEXVdWpXiVOMii1QAbK1Nahruriy7io3UXjmlikcdB20hbK4nWSmaotj500F
4Wi9scFdVT7Xk7jZ70W0q/BjWFmD07dsCqQfNzmTgWd8boNwypnQ4V17f2DhFxu9nlhMcCjRREEr
yoE02HhJS9Y+ZalwWGoa6C++B0MEY9guLtVMCX41EUnap3oYAoc/wYEvKC5s+xPrgqqiPEBypEkJ
pzFMOjz/1Lp66J1KTP1sdcb59HFExy3qrtt1JiM9TWpuvX749S1RPvt8S1gzzwlLGKLQXOQXW7aZ
mtiaKvk80XGZ1IWJDcWWriQrLtvQ8aE5+6ZdQEBvm3Z7mw6qBr++Tga9ODrLOHCLCwBf8FwJCXR+
cvTRLIM3He+vk2wl2JlXG1LUm3r0ddvemtl5XLy1ERSBNyrDpRydEuXjRa6di1/mZLVgWbUah+VJ
LScs4GXuQX/XNjUUbtiNNvJbjuWhIGCH676pNJfXMhmDMka1GcDjHPZC1Lnlthvrogcasuqmd1PY
tikjjsvXz38phlgkIkEcmhLgK/5zgVjIGtppXnPyJKI+SP5QAD83M7iw1l2MLXWZbRBD5XqDIxIr
aCv/RAPjsNHvAC9SiiJVliEuSBkDSQKe7FM5pI7Vapt1+oMwnS9Pim6uNUUtWQB7wJwIstFLn7GX
slXRlpxit6XjuSopabqnVUyChJqKKYDl13kUtv6ENEEQRZKYppkQJI2TS1WtnK+7XtdTUzSD85BS
2XsI/6ajiYWsk2g2fDkfKqt1v0Hyh1gr54ICf50elOc+o4dmEBejyB/ilIs/yEzHQ76I2dZvuepK
HDp2TVAhndcK5Gy8GoMmpdmAnaNGxn9KQJpcUJDApQMzEiT1OeHI7T8XVteadpZpJN8s85jg81kq
Bmyder/iF49lsOjjV2ajoEop2YIO9ZzPuCSTLsElI7IYtArbLcGEtiaGYonZb7jJF4QQ8qZZFYzm
TSe9sem/lHN61q7YkjRezL8OazsWLmLMoCUTFB7ftiUPdrlSGiQg7TjhssGz4pVDoZt8TvHrME/q
44D2bKYVzuKlDBYM6Ay2J1Q+4804WzMom+NC4GYu+w5vmnkOUmD74QdjAg8S01Nc5tLpNjn1yQLV
L+JlXoUunCirVV2lcRqWrzJpIb0RIXXQm13DEsbCNw/KDjq/rkWXFieCmWWcUVQgoUh/UKOpTGml
6LK9nWw3xMujVSXb+lPbRAL+JerZ0I83VT4HH9mqMevGG6UGYvuio+VAn9frSqUoeGyati/+hDYE
jp+pOEO4RxBWpnkWE4p04nMFI12TZm0vop+2uSNNU+QmiXV1MlWnSHVrRctAh+8mRD968ZVQp7zt
s7g6kdxXQ1zooUnnV3FUpexW5IiVnkb1wIc3hNJkfvV1Yi8gVKTw2oQjBE5iyrMkvfBkpFvKdBRr
/X6p6ADwUWkUFChxGYM2uzHNYQzl7KikJ8SMjYOKa+WgR/9PdGQJ6sgxZzGwKmUZSS7osL6ZxtFI
9aKm6zZdtXOmElF0bTTX60ls7cCf2Wqy7Z0mUbO9rQQr5/ZPBHcBTRlLkQig5EEoDyU/egEMVFSK
eUem5z4nEvqjS7XWzdXWN9OgC+ZqRt0NS9Yo/YkINdHnX2fBH7aHHwEugoQEV9jm52qTjT2v4iSS
z9Nopqa9Nlw5YQtU4T10ujQ2xFGTiTP+qJau5H/iKPiFp8iYyBnQOUHJh3B4skDfJ8HEYFndc7aI
51lcuim/TiJhml9JpgR/VAKf1zcsh5yaImmGmT7Xw7aUHyZXNvpXpUo9rrd6yVvhinxsbGBfGzv6
nMzxjDXz0GNNKbiZxmtbJj0uVd3Y5teZTSGSnAwA5Y1GkrT9mssyS3/qSjliPevq1p86l1c6OnlR
Jey2jn1kr0tC7gPctOXzq6zuLX2er2lpr1OXbrAwJSfEpkkUV/wnKifin03Eke4ZUqr7DMXLcnkz
NWk4K800TC5b5BCpk1x6fD6v7IgfemBLee4rHizZEqtp80gvYN8tzesJZp3JueY/lbHFBzYpx1yf
jB7n9efUbM7HSAaIbn6dSpO2TyVj0rMT/A9oGhRj86ulHOeUneFDINeo3HL+aEyWFkeuaURTXhin
VPNry2RD3/CkYuKsoxAQFXYx2HjN4dSr09dV8RJeUdDmcHtcwBIQ0PH4IqCZ2qzaqp67Z7xehqE7
z0vWMTgiRBCcXW06y5u3vXYreNIJPYGaTKBR8UhrJM/RiefLCgnYJYZo/oS0i5g3dDt23CccMRea
VJ+rqWpmzcTcdDcy6zvA+zSkyMuKza/NpK/agUrzk7JLSPlsqZOQqSGfHd6hiDAimzrSwGasQhK3
eRYhZVkbEy/9je+nTHZnQSeJ9OjrdNOLGDELSfV9/SiEyIjFLuiW06jdsGb60cS58N1LLbpO+6up
pu2qr6CYIcKQvglRAKmMnrLTMCnevldRjarCmaz9nHSPspbXnBZmy4YyPWXlkLXvyqZWTV8MnhhT
FZY1NTfFHC0K25Sbi/3jjtX3dYfNkWFAJr2MNt6rTP+2fnAP0Z9EmhnLYkET+GPgJyXsUmdKP8fZ
lqz+BXOdJk/H1M3RYyacAO8NjIU82jyQvDlPcRP0t+LTGJXnLErWhZ3o0A9Kn2ll1NwV1hpYGKkz
q94gBqH6sR2yrrwp59mUb2NrO0auWFRDvVhf1qHEELUbPsrVxuE1SYi7rthQBSBIo3EBkIYiAhFF
3i+rVFdbBDB6RCjrYf6pVS3sUjJfAmN1AJZ3ddRr2D8Zt8y9SUrp5FPhe2DB1/UCDYtPgwVwDSkr
kF+Ediv5Q7BgpmWalkWlz+0kQXk5bT20wpKhXtoibVuJECdmlv+JtC7BHu1dZI1IX1Hj+kJJKsfU
CMLkaD47FXvk7m2iUaA4dbOaoBkiIgp1gj6D8BAq3tcTbMxDbeOvGQdJL71fsGR02pBCwQMhl7rw
fn7skGfTRt+oKjfrr4l2bPmx7iozrgiYKc91kcKcnSnaqZuYLJIkah0ptJSWLU8sRe7fPsxcXy/1
qcy7rTFXsZzWid+Y1Q3zL33ly1oCNdqKLi9n229d+XzktU7FuWeLjsyd93Mp+9NUR0tmnszd1Dfq
Sg0Mofwp8Rs15Amt03yJfqRtavOp8IJGkzzNrlZqKjol0i16HM3zOLHbqQMw8yLWvs6620gO3iY3
m4j7khYtqqFePppWkq3bqyXrczqdym3w0XQ9prz28XUkRriJUxx1a80e6WkZTHcSa4Vq4y3TRHvz
lNb9uMSPE7fWywToVTCvq7hssnmuCr7XaVriK4DkSvIKNaQyTxV+JckIZzSUbYd7SOVbVBizxaHg
w33lUKsao7504iZbllosVwM8tDJPGhXZoBS6CgpTNnOoNRFZBU1hcRkyDSReDr+ObcTAQmrn+6jB
PqPRGvhrZetcex5GNq31Oe1rVfePMhHbWp57midRdj1E64hPR1XeAMSXNo9FdEvikm3dSbtStfMJ
1ZeRvyOypWty+rhBm5Oa3+ZjPtL2bUYTsOBkTBz1203iamriJ2Yk0VLOBZn8BFooqwLQ+yWpQXUT
DwhgCiLGEXUuwGwXubOMsdV2vUUCMz/nOfYtSiJzV6c4bRfzEDJzm4ci4myoi17Pma9KezrKc2mu
FlQA9V4xnF0+9PU5lhsz/NSi64lawVjrLVfFinoKNqgcWPYSRI+anvtoiGN13S1IJmWBYw1DdObO
EiMe17Dr2l25WdbDdMMaO0S3wreRJIWUKHo/g04hET0xu2XKQIQz3P1V5+t6IjdIfoZ8vQJTuEmu
5iUqk/xJTNyQ3dJRhHKsggpF+VXCHV/ZFTPrzF5FQns3n/SmUPMrHKKrerqi1HCNsIz7aT51awdo
PukxSk1zk5ARSHvdbpIRXZh0cXN6QsSXRzHQl6H4WGTpnKT1tWZ1pNbzaHVExhsYj29UISPoVlpU
SWknfx7qeljSYihdMq03okSaJ88Zoqme3C6tLpP52rDaVQio9EBGdi2zkvGfazeMCSk6qxkdCpKX
PI0KKTZZvVOp2MI54ll0Pw9cLpssUss9oVea8VDH22u61SLgoG8RS6o+uoWCpupZKpqydE/NVCFe
OHV+zEhUCNgA/5n7VvCfN5WMw13V0Bkpc6Mh2wHlXKThr8ELONCr/TW+0g0E9ar0tLkq+cwaB8RA
dkmv6CYSlT+SxPByO5tsnPiMrH1J1xWBjQ9FCur6DJcuq8OxsmQ0Ln+qOJEZlFOIVrpbtXT10j2s
CSrqHgY9jln6r4QshrQnMzOhkyLqUJ6mD4WpplIVfvR5Zm5HY5YN2X5kBH+b+cTGXVVsJd26+TQh
7jLiWo1dkv1A6CIT97jtm66qn+4s4zqT5buJGAQsJ2hy18lrgUopf+O9rRU7uTwvB1nwblggHU2n
KXrtpKQ4RecQ3EYFylozy65T0tLOF3W00WwtfNUgYJhHW9n2GSCn1Olp8nbo83PSmapPij6B+UUn
Uq5KkaKPvYubK9RybcWvlLLhZjyrpGyesGlDmf5G0VSBFUO3EMnflkSwOSukKdvJodtC5eKuKa/V
8oGbIQWzTJfr+lneLanbTrprA5M4Nz7rz2lN5VqedDw6x05si6Z4vTHKDpM8K6pQoB68QxZ32iZh
4BmkRGm8fBKPfqvFQ2vzCoTQToVt2jxiDXQGEXrZPk5Uo5S6zchW2eW0ZOPYpaeZcmRsPws5DSR5
WAIxU3WtmEZ0dbWVjlhbtGsn/Hyq9X1vpdUbN9lVnU9NmcJ19cgfCm6UFvZkxmjMkmd91TnDn3Zo
tMGEeiVQ7npXN95U8mdUGkN1Emmitv1V68uggTPdPKSllxWVkKsWuQLkidiVBtrzbMOl2k1QI0XE
Ot/ZFDdJg9Tm53Qe8G+mOjQbrkwmffTaRDULWtDESd1fS+UXXaKOFdesLjY0hdzDCMkl6GirtBqj
go9ZSc0pM+lAzDUAsxuTgia1BR1p5HVcF76Vc8lOZKkDxV3fS9CBolKwycZk6BFdO112uJmuUL3u
Wg5LOEbarTFeyevSwv476zj/2aPCBJa0BqFKesoRReMNp53D+x+1eZNCPctYiderLrK2PLdDLkdx
rvJEJqyQdS6b9GwSn9HmtKA+xpJTN6WrWl/40ahc36AE2UFUTdT2gwPNjdmwnQVog1ErXcMlrWiA
tqNplcU8VL62km+w84r6ri9f5bGxOFY3t/dVnB7NgaqI4wHOHRXGHUISFoMBaFUJMCdCrwH0EgIx
9VfEdBm+WcdSguFxbbbt9WrXZe6ulpVa3MtR9MR2U9pqkBLreMP7ymkwIDFwBf2VjIcR3xcb1fiw
RN8EDOtWMU/tE7LRqR1+gOIbU55aVo2CXqM/WtkZlMxZOj5B5MYGdh7nhkAGaUWUUc/EomrXnpqs
lNl6XfZCzaksBkT8a3S23RTCE1c1qFacrK113LwyyM22qJhR/8jIjVfzIOrbPmvKxbxyOVBKFR0U
DT594lb1pqjYoFV6lbQkJAQpm0Lvc0xVjzhhRAE5hFSRDrFOK9DenZ9oApWbH3ViCjlp7sR9q3LP
P6s8bhBtuFxaXHaItGYodXtjRBQt862ja96LZxt1GqUQ5mjo8nKr75um6ACBhpjXob0a7/HWauGo
h3NV9+iqTXs4MrdRaBei0TYg5jjOE/MqkJ73fWgeVqiM4KyGsRZvmqTqajQUF4VPdaJCX3Rpy5T7
gnvdZ+NDMBHNo7fVPLJ4fQqfl+pBoDyZOM+fpwM0WN0oEQ++OjMUQMbtCgWWED5MRlN+UyfrhmAy
ijZCtjuENw1iXrn2rJ0eoXZK8M1lrkPstLS+BS83M4duZjXN29Rcb9vmhHmsysqb7fXRMs987dFX
jvrFY/k4zIi5rI9C4CanSYb4zc+hfSv3o4phDkw04xjAa9QKEnpcxm0Iij2G9kFshKgRldhkDOnN
3thO63WDBI6+cG7bFb+qHGVkeTNPZUeXmzhXWRtf+bmfES0eDWcSVyni5iqSzozXWwxjEo9blQXe
N4jZmb0RybSlEgn5xtHzP7qteshC387meQWC4o312G8YhhA3Dxl1OOoRQ0ZShlZ1JwaLPM30fVD2
UZUtlgvtcl/+QJc0QMGQbqFTv3VAouE8dGtQDvS+Q70jzTcJkqTnIU2m6JLXbUH7MTHlTR+hRFBd
t2ZuIBKy+vCxcR9KmLb2HmX2b+494o6pwDjAdUgE5n0DZftQXmnpFiLkZKySeX5C0FwCtV2MfvH0
2AxZmIHwTRpEf9B3ZBV8Ri9G3owmvi/SdIB1VRz5wFHUocq1YMQhFOddiT56LqZEiZO2YsTRieIS
ytWna9D2pV8DI7J1Mfh0Ptn7GYRdSzKaB+NC1xbNkdMxRABXiLJRF81BJsjDYdQ3rFuQE99M+8RG
X7d8eEerpMWxDgbQaY0M5ja8DZzqah6WzXDrIOF4ZaFRANSON+GCdk/Jp8ey7gPbobtoAl5b1As8
wzokJe8k4jOcY21GBcrJ3jDLMhQ1psco70cAsbx2I5TE7I197iO3IAecvBE+eQ73P/XsmUPiC67U
uu0BWHm6hS69NmX4NuZKkLY+QQrpbXeDGCxVTxBsRTA8jpQRqpbtRTEe2ZBBHjMS+wgHa0kQRdro
kK81vkR1+9bQtfE4MhEB0o7capZqsP1132eqTM+tXQKQzGKVIOjQgB0eAclh2YHNrKqD5S1Nt4JF
6IrHDaJlOYzpz2bybfw4K32gao5pyHLJrp7VPvdxpGJNTSCEoipnj2/0u/kdcG3lGjrdyN1CQpzX
NJxj9CZkhcmuZ8nGIIlyH77wsw3p4zGKoUwa4KHHsAeQqZruh1vQgR6j14cpHpDEpz740+PmhsAD
ysNJGJ1oh3LA1sfwzFF36WwcUGExllelK2buTJD4kgd889niIZbYKAb82ap1xrNp4T1I98kWHBUc
dQBjJrs5qNuWBtCz4B3etLJEAPADxaQCtq+SuoT6tC4OCIoShcy6HxI9rS4pmlmEwsBeUTtkfPC7
32YHPlTb/WjAkm1GyV+OX7YaV4D/IWO/9wmPKpPma+iOooGQrfz5oDdD0x/1XmzywgWGLJoF8Kva
+2CP1GVwudBSBw3W+7Z9ubY4rMo3lO1++NgmidYwZxDtDniMmwB3RteYD3lZyyqYWCdUAMbRTlFG
X6YMRsXVI0ZY6f2bbRpyOj9CpYOCu1GOeBI4VJIUHS8qssj0L5ps2GJ7p1GXB1spncJlTbsQY/G+
DG8e64jIozV9fIyFCBCM6BKJTBjViOc2HKmnzKLuizRbbW+PwQsM3aDsc318hJEOEewphpOayVOR
rZ7aYrD5ipuHBqZRCoB9tCI5xs1DOLwiDF/xMq8rh6Bxm7f2lqxLaPAf3eJBlBwHQjk0HFYwjCGt
SGf2M/AI4wvuyvY69LzbTgSqu63tt3gr4HhbtAnjbY11dGUGh7rPbcS2GU1rk2QUX62ErDvRFmKF
LNwTtNANakk42cLyM7y4gFVfNe2cqPKlR9wAtpXJYkrxchnclHZP53Sq8voGoDzg5pyNob/uWEfA
fMLqGXsoriMvX1C/NSt73WCaOQiNRRueGRgP4GuVEtlWXcRV1evmxZLC6eOQdYeqgn4Y6SYHP1xI
irqnyc7qwWQztjqM/WB1vff35Tz5UKevVQbJZntYtbEpVNcXloRnI1vQoaT7ZFCMPA6PBCZ9sc8o
FrSkLBwMdCzd6pC9j1EVtOpg91zmYRREmh6x6b8EEWGwZun65l2LZj5BULFP81ShXNeckSaOiH2T
eGw9OYlE2zx93CC+2d4SpQI1zI8DBFeTOcwkpVMffEiL4gh26TJx3+7H3N/2Nik5w/tx2eUNpiGY
DnMyiK/UwF/lbtocu6K7zs4VDXW9dMuXOL2hIkep/HSMMYRJTHzFm4giMCo0GqW6fUGnZezVzRKC
LDQID0vY9q0ciprYSgOzQBqsPnAltSQDGR8ptM6BelLKBew4bK3GnCKcdo3YD2/y4ItRgZwWh/01
gAWDFx9HgPZPaytJIGrcdAP6d+cVZVGYirGyn3GJfR1su6qJ3cYf59kjqIVhoHPUnPu1jaGIh0y0
ioJEl5YlYG9sZQBXpLIhiRAOteL+xZEjowIgW32G2Qxbee27NgiuaWXpIAFSDUw/VJitlDjfLjJt
4BkwGYM+Cy4fZ5t6NDjeZmLDTNObssLwBaYvvG9hcMfQx0RNUNvGmHCzqeoQ2+kKO2yvJ1S2QGa/
z/cg2jNYbvuqss253d802zRh3T6uxuuqG/oX07RqvFhhHBFfXtokRGWI+hf8YvuQSI8+Coyuq/MU
x5onHgWdvtdzNHuDYLsq6ba3GBUNAAn8DjMsB7/UvsrOUbDtuO1MSk8rcwhZX2I2R0EUYFZW5e56
HyBsdplvtaRy+DHfJgWJTHCCYP4hwgNESjukGepZc4oB0TwrMC8At/YIhVJT5mtBMY012KeMIoBu
zphY6YAVqA8psOCQcN0OYRap24d+ZjhV8HMtkaDGKyJogv7u6xi9dN3ZAooSIvAWrdQg3F0Eh0pO
pQyeut2nuz7KDF0uC/SfAzocGJtv6wAUOiz8QI5jKCxqNZrTP24UWQSGjfa5seNXgozXqdPST2lT
3ghMB1teDEoh/fgJcWgg7LeP3SuFrQYOkznGmQ6cO2a/kDUE1WLLGmD/QCV48vsJombsg63sE4Fl
2cqgHDstrW0DhA/12FaJuzpQrV1WYPq/dvdWTWOYEsq4LLG7aFFEByT2qD/Km+yzX6j0L3Bo00wC
SGOGa8Gbssk7SPvwpvUxM3ePdci5aaB2R9QeXQzoNe3Q1YPL82PoDx4mE7qhtXi+mKlJthclscFd
1ym1EOa8b2d268A4V/CmtBEhVnHZFjhweIFUNQPEcMgN1UIbsAP6jTeP4CY+goX9K6VBTQkk7U7h
wAC+s7px6FLnT8SmhDJnvqQdPjY5G3D0cPBbiG4AEzynwaaH/N6zcxYGXGNTBxjcQf+YDZsA+RU7
tynHLO61w9xJ4PvurBpjRywbhOGwRxbPvpI3HHFWNb2xcxfyILnPj8Y7A1HMW7DgmOBEmzvgXone
2PZ220yydVdxm7c+O0XLPUwc04NCVgleXJQOvZJjrO4Qc7PP5hLXz5q8pnbB0PjtZHoDpuaYswGn
D704vhnt02oYNssGmBKCeIimb+8HVMU+a6eSppzepmhS1ubh3FOMrDwW0kZuen0AMSUjIHTd2Zah
8IJTpek4OEyk1JhjSW4w9eNVW/B93C/yQ5B5T9IWb7a7JA9HeujD4W4OP5MrGnCsi5Yw8Kk7EdxM
K5qYkmf1lGfSPIz6TqBk7E1D4pcYQgxAf4Bm5acw+pcuJmjvAWooCofgHcO2wfKOceMjbaljG5zO
McbYSx889q4HB74esfiwWIEvT5KGYcZ86EqEHxjkCOqz1FWGL/t98BJ8qFBpPeaZfdXx8f8ydmZL
chrd2r4iIkhmTqmqHtWSJVmTTwhLnwQk85gJV7+fLND/f2rtaO3wgW2pu4ohWbnWO3EDSIuj4sPP
9nCYR49fP3ricN/xjqsSzZ4RWyt7cNml2kblbv+QWvno2eCHec3ttet4Vu4NK9LPhsejZQ0ibS7V
sq+0Y1g4uqqpqRt+Dw2lOb2iMGTYaZ7bupnOh5pX73tqlTt++XQUhipSfpdeQPqG5bPVtQbvODou
+xBm74+Ra3eubC60/Wkq4ERqxb072rxjS8lVEWdIgTwH5DZxeoU860vhxTHEQtIOc51anyp/jrvs
/YBiTHjdGeiusbrRNIrzFuQnK21XsMFkqjsrbmzcA0Hvr9m5odg6lk6GutqiSJ4qIQORW8nmV0zk
cRKB/KOaT+q2GqX8WNbtYi8wJ53R7vev09GrIsPFeEw1VZr0RSiR6ydOV1tzACrTh5O1ahah62zR
t3qepkiOiVdvzhB/Q43WrWq8GWXdOTX0V243gerQQeSTdKsLEFDkcuKdJdx5/nco8mCa/03LNgqq
7LSNW+6Fly0tZne56eNc5Ol7RKbM5/CuAs6iv12UyvLxAdAEW8G54BA977sldJUW70dGWBm9ykvb
RuoXjHU7DXcAK634HrArF/JUlkiaU57zKEzL27wFPtiSwe1UMyQ6ToepOzdzunj/jFrHdX7qSrmi
IAgLKyj7xEVDMv4HHGtxHhCjK0vCTMD8lfex3QzF/H1x+siKXg0TnpD1xpqRxYh7K2hiq7uLFoSX
RbKu6eCWZ4hIu4mehjiavH/awq3q+e+qm/vASrzSaYPXVV6Kdr53QSmDFohdS1d9chALOH9rg2nC
FVheTv82cx+Hj6ULuH2TD1me+8mSwcffrFcnheUNSgeX2fGC4a/Ydqf6rZ4APJc30Tr4YXZmEEV+
OK0osQTUveVuU6LLLGrdt/nYo06ZNreWPwKFfeHtwU9YEtrbTfJAeQtLxOfuvfZsencrkaU0jEd6
VXjUiOeA8UcYTHaGZZApbMuYWdN9x/krGB2A3PA/VRDmizjnHjcgZc0IiWClmZycJ5iGLEO30ozl
1XtxFa4MyqjAonYK5yzpqlSGryYpWNiJmKkeeKIiI0oK2po20e0CC2HnlKFcveOWmK1NxQUfoN1p
4cfySZTLm86tlyb8VPVb2Fin0MolGiqdOv3QXXJpD5omvJwd+28rdcZenDYRpozNkYiy8b5uI09+
mdptK8sbMedmTIpnvwteb3rsy393yZR0JiMx5asLc0ayDeGW1YSWb/9ZxiVoi7shFVv9GJq9q79F
dc1QA+onYHpVv9lmN1gcRnvAEXMqju7VHNxnGb6L9IO/rLmsbptmiqbqPg0ReYAA0m4Aa6R5X+m3
9bZ0X/J95lyHVdSPy+AYHKtbQy5xUrguOBBSdNf8Tt2UQ+CcBxrmfj5NdCn8YRBkrLVyjLvxSy6U
IWWWvK/5ZS1Bqb8MbP3TlyjPwkbeoKLjf8+yncvl9drWrl7ObR3U7Ru7WoGB7KjTXZXYEQP/mDiO
5Spo4TwOoifbq6i+woXFLE7DCKtK8xR3cvwC0GUOZCqLjOXub5tBdtq9/7BFxZ6cd1Ff6FO+pHZw
O3BOwGTbMmTUjLxfNaLjNM+NPi6u3NIJL7XMda3Ow8aq7C/4/vzOfqp3p5EuV8O9jCyx1jTmLZoF
WzZR6dw4XTH1j26dN02iEDqk//HxotlO4q5T6N60oE3T16qXVXunG2wsbytIjvELWiqDuadwLhxk
5a9oTRO6mzRfz4zrHRKzNpwNRH3sLIu1YEU5RwMSHv+y4sBq3xjFXf3I9G1GIlk3FTdghv4unw5n
nbOmVwwza4T7DnFtU/47Kp8B7Ax9aVZ52muUfArlAHLQId0aJ2HY4GwTpBFgneduhDQVybJF5kGR
bjnVwx0sXMnzyeXN03+2EKE/lGwraj43FptZmWUQpsONwjPmZAkYfjnml7hNjfgtt+iZnFO3LRxN
syJsor9dA+CRRAV1la0Xmypf/gsKyI3AxCFZ/mehvcL6EeLk4Pu9yqbruIWuQWF2GjZDbd5kgBAF
93bN3PGTFVSm1eXZQuVWdE41o23VfVSIZBzCmsOI0sbSy20qa/n/HsXZ0ub70Q9loZU4C7DDeJqm
MLemk13XjHk3SCtWW9zYcWf+L8UQ5hRJvXStVqfeCVb9bvNXc3EyB2ChTGTFF/xYbDyHUFKxQFeV
lFBkTZpk4CzmejhIVNgPnRr++G6/IccFtsE7+299DHVqJ1FstdSRoJn46XlETItjLzf0eDIHoz9P
SQ2jwr6MeMeUha6qTQkUdWswQUu13Jf9M+Iqpi6NrY3QOjFTeSRfz66OoxUCMs3lX7Q5jFzn0kkp
1djyzBqJh9ibVip0NWY/YpQO9GQRkJr8EbI58A2e6NLqXShp9n/0BTS5uivHbWjlqRDgXPbXjJY5
H4F/6CvS87wETrg+rvD62Te1iGrDbJdxHtY5niYEGxfpp3WEfbPYMAe8Gy2Jhvz9UjX5umDDcCQ3
pUSHzU2U9AntJ9MsBZ/ZTW1H3qVRlAXhPYYdA0AM+PzYftLQNoOr3hwDz9BqLUhs8g0FknfGveNC
80+eLvTbHcaRUy4pLlOnTYufRpgF3kjkeLS9nq4MJ+uBsBTviiXWzpKEdt3NLfv73uGmtrlDjY/Y
BZmhqgo+yoqRvOfnntnVCs9BpVrHPTutx6ZYQRH0XKMwyt9s6LL0g+dMZvNqI0s7iY2eg92ZklKk
8cmX0O5ULnc1+v2jWe/sxpRWp3Fr5y+VKpfvbRd0305S+PBNtzRHV/7aa82U8nPgcdxU5ecsK8z4
M++YMbu1mSEUvO9qpq1Iqn+gg5p8ONuRb5y5gyr1Np2rIAU9ulN4RA3x4620eRDDqTn1cdjYbWw0
NNvHoQqxniQoQEv9NlDSjG9Htc6sQLDd7Oa1ee7MGblOY0p96DZt4J9FVUFC3k5tDF2Co8HMN2EV
mfm4m+eqcN+2LJ/oaQ17+gpv75dkXS187KrmkY9oVwc+1q35Xdi3zuNvZgHHfZ6xFEMNkErk66/p
vEqVJ9lSUWVP3IRqpXHdwUPk1cAJiWpQNr71c1pccFC/NEfbjgpSr4xmA2FNoEf8mRNM3baiYNdL
90EIdFd5csCQZJ6gMT4NbS3qO/h+I3IEmOVjD5cp4JRZLLltF95bgetv+Lg/vpXvSEaOYwhkS964
xf2Vccf0bfq+w1wzytgQcXKlct1XAz7xj7atFBdCX69RvxQOv9pZMyuvHBczHGuXAetrlacGUjvY
qzJFagpYMtbm9jaNZ7FU9ptoRDr8YBfS8X4dB2flw7veMbdyQFse1YmLqimggC8xfe+tjcJqvp82
bYamslCmPFcKXGm9qQt8RC0aXOOELhGos3j83TzGnN9u92w9c/oqKAOA7g6Jo+VeVNZOK0aJsSkQ
eE9O2nxd4zmv/GRfSHuH0u3nKevIG2+2IDaN9H63ptjTpXdG+LhYbaIbqyreQVgtnMUBQjIeg0Zo
qcyfFbttsR5Kqd9GOKfCMPHmbHXbU7+jvDt4MWcyXZtkyeEZHvpMmmcwSDPXYHVUGMryUUDStsnn
+3r/s5/sOr7vvnyMDwDJg+c1Jmd0+19cd2gKJ3HkyDF19Lnbx3q2nfIJzSq34ARFzeZ/0+WKi+wH
yvTNLT6U8mmyHMXzyqZkHmkFscfpIDXmrh3XWEjPLLcx2mr99qh5+eKyHh0KG/fnAHn6qTT1yPdY
U0EweubUavSs973NKZr1arz3Ba78+b7SSMQpe74w0G2MKEn2n1AamyqsTNMDpTENsI63RdHxqaX2
+PJlqWgrA0Rh+u0xfw9d54RAKgXg8kc1C/jzd1UXdPzm8Tjt91MGfUZltXwLsetlC3s7+56GuZel
CJztGSFpj0sDnqD0vXFc7ttUh3N8OnAolEGVkomFjW6TbWLZ2TrEd9NcrvRhdKqj39ykWZXLd02W
r1F5Ri1Vd+WrWFhMTllEYUHmIQNHd4mGxGkKdAqeXmRz64LqrvGpqP1w6U9siIOvL9MK+uGyyJFg
0TFgcHH7pyDqDNCfSmkMBm4xOcZnoGfje1ojW+JuQqit+MPB6nBBAeT7/pogfB+sj3ETIy1jq+2L
hZGpHJzpC4oT3b1dXAyBfjIPVM4Jw+Bau+qMOHdpzDzWll5wQsQwVNZNGa1dn937bLejTEKjR3iY
i2hj3wlmxfZ9mq4Y/NpIHEVZN0XLu6oBHvTO/ui07fxYZJT76GErg46imoo83PRfaQgfKV6vo8KL
MGxYPT/Ivg6FxTFly7Sdd83H1pVM9DciagKMarLAjyOTTDdFXL9mWMHhvOCt9Kp0PDVe7E6os5zU
pCVAUs+Zexp9tQyP8Sa8FHVfvypvPmXg/m2MI1LQf1/sMeix86gMX3VxUTo17Vezlpun30HbLlie
kPWFWD3WQsPmeiXONaN4HHXscl+XbpqTOK6NngjYeBvVbXitSaAVfbaiCNZeZ0NiTI7lXyxGoPG1
aqrGSNaWQPPclauY4ZWnWponrixy2zT/ErqJvTGEYApv9cRItp28KFfIfDHleb446UHZ8/cRCh2N
ZyrV5keQqPE6bTd11sbWvasZZvzkgNqAe00RZ69KqyjBGOmlnzGsUjokTgWAQAX5xFR+QHLbGBg9
VyeQLc+PPdJk5s0iRBY0XIqM4CD2g4H2Kzw5jh3EHu5zpAvlbRkEE+oEu9WGFZpyZVXRGTsMitVX
FfBztCCCLB0qSJ9aapnfeHYxaP/BshvG3NcMbfRV2UhlS+8WJCBDl/SlzlAl1tamJbdPtCEkhNX1
uBtPdYEAd7sf/Gka8pOyldkn3Lrc5u+IWM2sGqRtMJzKUMWquNAZaAweYgjT6e3hG9arl8nt4knE
FU+NCk2NatKOpgBESTi3OYIcW50GFDD919BB/f2I9q+c3wz0nVwidNBd+6a0MHG+JcEEOxKbokKq
RGFtJcO6lbcDQxjGV8Nm6q1hKddFht/ibCvZ2TBKQPHZuxGN/bqeFn9zR6bqa4eJ4IcPD7tN1U6C
JqZWr2PkNRyi0qGYwe3CMHrEzf5el3mU/qMz+KWPAvMC3zjN7javp7hXWQ8xNeHABvZNiwHhL+If
8MAEvqaNPgA/Gzhh367WXRyo9NZrOMycqbI8wxZA3Y6hZzjTtGjZRI4wjnjYEMoyg84Nc7/Vmo6R
4eEqZ5SWaYhrHDDtG27QdfpCHTTfh0Z/qE9NO3ItyEHyrfDCOGyaztn32WXw1Yj5e71ODg9zOvEE
5udl6R0mJRd3Lp+6pfPMcnWmjO8NnIFn4YBdY80EhEzIs+z6Mcjoa/RpXxKuyGgVkpxhA3F77IJJ
f02NTvBpOLSWJjvlsegnBunVEp4azuHc75Cxz3aLxtcS/EvJEAgst2rMqtsVKbN0Hujw3Igsxj3i
FNWIBRsBRxF8LrZmrZCy4gboP1aeEFN/mTw0h8OxPXY4hvuvCDViegEb5np554giGqNzXVbohxEQ
Xt3vUxbH6kOF8pOqpBWLRWB6MXV3YssxVSC3a+crgIbZLHS6cIxrpjEQoxdoQffxTNJN7YcdYutj
2J+0z+8jmeYiRCoAdSLowuxwVjSaVmPK6YbLc92M6fJXV4otz1BaOFX9AbVh7H+moGlzhNdPRt5n
BlE8g8LvEjXh/32/O+wCuw66OkG40dg5lycAdZtmcNPovJ9Bk3WK2q5rlCLlhVlPm5XRdHxFX03c
i6QsrWx9P8vQwnQoB1G2Mmn6qFKPWzdiUJ3xRfifrYb+8uuCGIWtSSBrlj+OHiRitHtHhvHVWdxj
9/6woWrkTMEZ2X524dXqNCVnMA2pMc5aeuYSe/GI4/T4zaHNaGi0tGXbJWxzbfmqtQrhYgKzO88d
EYVNc95jGm7Z404OEODo3EbOFrhFYkM89O/W1a/G+WaBnGIJTNlYgh9RfVeFzLNrOZYeQUrwoOsh
ZPMLUmG8vNvub46CbR22U4i30+5P2sFwr88yyIhBupV+LPvuNMI8rzGOgxkk7QIoYGXevRYh2nss
KRTi8g/xKM+dslHk2aSj2ITFUent55Y6WnpaNUswYDdDLCjDjbYWZFe225mGHksTdedlN6PzLE8g
ih1cw5Rc4bvG2vjcx28D/GnG+vWVXGKKUeU40sbKFRC0IZIubx0ekaN5ypCIOOlN1dB7DH9XDIcs
Ddd1Wet6nU1NroTFekREpPgtdtJYRfhDqkC9I1LBd9EW0TCvPCx2N3vUI99hEzphLWjwKuJwEOYh
/elFvjYzEJWZQNAVQwf8LeQCv3XCzm6eqGxc+OaXL8ezq4ExLRChHdgCyMInFuZZqkGcNn2qeIQf
D8q8I1OHkerQ0Rz8HQIUo9uwjwSPAF7sT0E5Ji35F5dpHBNlRkxG4LHtu8TA8Pf/5e13cBrzNQVG
YNo9Ko6cSqOvXGvfwP+WNxnBWbozr7l7zU86oj28fUAR02gkks6ukKIjNtIUzBDYsG4LUn8g2g8C
EiDBD4ubetgmF5pZViZmpt9jRmgGTEM27nzkkQBzNEIljiBg+23qGM4pt01ksJsdXCibvOD3ZOEb
cu5QtvEYQkB9B6Xr2vDBDnOxUs1lJgv7CVhnnbxX4ZV02Xa+b0c3Do7WhefiOui2Mpxr38VNBEYA
YujkANVYruRTsRgW+bSA7Lt0O2Gd9Xly0MY/pT2eb9RGx6WKdq52xBvNxQmHzGRC9VNqtDPpLjSr
e/DH7b0LaWcu/75/WFgVoEujHYp5eQWKZ2EkZgn6AOCxF/omMcXEZf/3nQ9C2VvIc4fHKo59WvtD
twQorEELQKpM83GsRKgegxNg8jKrAlslPR9GkoBfyyttpkPwWiPfAUU2wjFV1mZaePmIfefXtRoL
EoscE5nHP+y60bMjHphGOx+S+QFd+chVOthuy3LMkj1Wyxi4DQKluuo6IqfssQsAr/VQmO30CObB
VmOAt8qFl4CRcHt3tk/4budQnpo9FOrICBuG3pALmSqMSGraNqPVyFRrA0eqPVSs2ad/2FXGeScC
qWIZI67gRmfsWeYL9kXte8tVSr4xbfXn1s2Y5k+HQmTcv8cruxDxoJsHRotnwVbxrVWmDYx2IA9N
i2wiuKMSLHr+KSkZx2sai4o9I+XjhK46if1oj8ieqJ+vtT0FF1dPE5OibM+HIsXfSfYjI4zZGrXR
H8r/cxM3ZcZ3hSDERHgCB+qzMuNFWxY11PHHdn/eYxf5ElFg+9UO6sZjzTm7KtYVFYtH/yG54pmd
nu8nZIFwfge7k40Q/Fn2zqJxBqVutzw2eSNKzIJunPnh60N0ezyT/liOKIleXrfi+Vez6bFkcbWZ
JDI/8p452EtKSu8yX91btrCN9Cy2+2u1s1ejsACzV3n7lHepW2B19uq+rJ+Q1ZpMpgND/bmgZpbq
cp40kY/NR7VFVr0yxJYBsosQlIp6Gg56Rlf1hzP47clDiIIDKnTIwAGaex5RgboefmiJrYeyaDQP
9liAsxMH5bd5Lc+F3XPSCUpXr0XDWsTpeM6pbW15apxOFhkSzlKp9g4vsOi3E6a6nOHv5WN8tsJi
IQKbTdUme5hbTGfzazkTWqRYKpn1unaBGDhHTmjpGqVTuvFYh75rcdxRFpWLp5JDYvbyEfxeUQVh
no6NtM8DEPKeV9QaRQQv4NDpQ4n3TYsL2Mvo6hs1zHOu7qN6oVBeuNBmh0RS7rXTnVR9Had3QLRU
1GrfNI7Bq9fK7PfHvtLsG+sfjvjZ7s8e4EXcV2jQiK8lKfHXi7Z4Ii/QCmyP5d7zHSLd2rlGwI0w
JxS6Q88u9x/RwWz2JLJGQCIEVAjF9tCDvXxwz58ax6VdJP8CrQkPLdXj12NDkeU529aKh2mpM6ET
fjLPxOngJZxdr1702kIy+PI3h8+7M4fF4Qq61JDMCRbTs2rll1HflKPvvm9ZPHSAQ1sxXUAaMZlZ
4ziQyRES57dekEqM5X2OIoCxg1fQOLELqzggY77EAGvpDRifcf3jmoBjQ28IX8ms0jPYIHudY/ce
BGoxs6ZVtUV+f7ipMHTk/N02OJrPlcVoIoaQshDGd6LIRq4+kQow18VfCEXALvsMvf7DAS9ayuaP
ioZx60cz5vCrSYTNnYnk8FB1LbKS6CwWYaSU1ZozcvW56PgJfZ1mWgRp/M3Sp6BYSeQUNX81F8V1
bgQmY29afRA+++KHkW/Fl7BGji7u0LquLtNkM6w5IgJ/0ySoEK1hmvR5yYlh6tDL4SWEIeYTMzhu
1Z+GoV7qb/s8umt5mxanAiALQz/n3bHg/M/kcBiWZgdNbUy06gPmWXOK3VAzHsSSANro7ER2wAjG
uRP3hBPVkis+EG0CKZRYTfZbV01M2VJ2mqM6vE5N1JnRvGCElT/wRPnLO38TkkHj5YX1PD2J7ccj
hSsgJJ1IzvC3cDovz+286NTwQWDY5mDCmUggsrv2rKmxgaUgGASDArM0fhzOuyPVzCEiblxsO7/N
fGFob9pykp9ePrbn9dOMgm7oxNdZIGTl//q49cWoI0RP2ztogKaYMAxDv3/GIMcoDQPjmgOLPCM3
6HEdcBAvf73zvB01YxDLJYyIbKEpfR7Z2TUb7A0pQh8QNJvIHZSqHflSqH6iRp4jYlVcBj4g2gSA
yxtfkXxTlu65ruqiKN8EU1voD23Rz0zodt0CQSZDRFTKfIMhlFNwwMG9uz1ZS+MX9z8jGDWZXkoU
SI06DdLU4j8YiAY97VlBQ8/kAYGKTo6Tf/l0RfR8S/U8l4xWCirKb9v9bbNwsyjNYS/bt2FWgx3g
BiGl5WyTUOKJS9C3jfwhanuiDCwy4IEmBNng5DqeeYL6rr/mnG1m6aeRo4cPlVx9mYNWmnPTtcUa
nhaCCt6kSwzP0LVk9TYoGVxLe6chwKx6g6wwbao3eZil63AZwvmaZLYYJBV+z4SH2bllII+5HQb+
5W7pMn9aoCcwnVUDKA5xDNUVwZVZZ+Zy9GST/hau66T+DrExch8bAtpEeR7iKovexLk/xd+aAgiZ
LIZZiQ6O5BrWtJGPxrOq0vlazyLQLQ8TN4e8kG+2/l02w+z9rGfcqrHsk3TWigAe/Iet+DdElFtP
dyJcDaUIfVsIMpo6qTnwQbsSHDYcBhcT4IJGjlNznKZAfNEosLGzdDFy/DCpGY06ceeq9tvAMXD8
XgZeja+xsw0O5fFUmCehQMv4MEvkCwvGUaw4qB5VvWX9KcZOM38v60ZZ8AyEYpIJqEq5jSdYGi8D
AJwLg+NVfoPDI4Fjt5z7fYMpIOkbFmE6hNWb1MO/+SHU3shTEIx5Ib4U3SpH+JPBL/w7F2A8eDi2
jwOMwyttrhjO+GtA1e4H3fE83B6WO/PsOsVYQcGUGEzurCBt1HYT5/XkVoliy/PuYmdFB3WeokI2
D/gHTNUOY0PjBF5mLgFCHQKHz9nQ5v4PXnKW9t2diwCq6M5WT2bSP14Wmvg7P1SbszAz14LvUCmS
JHXKrNz3nyokVmwicT0vafToF32zzmfUvE33EV2TKcxDZlZAXYeTfq0ZKfxPa1uk5Ojh76A2Lu6g
wjqRjWrIcWi9umzaG6ZCZrhEuTFW3lM2b8p/OqBVv6t7uKDCx9Ub32d5hrX7QiSBNxDcAS0jPoHf
htanLXMVdzQjfsD/iDQ0yuNkkTXPUrCvUll2qEVJ5ixc8WqsiiJevsQCm1SRqB43tn8iKLWzp7/W
1RiwExpVO3uHywhI7kRYGy0N4Q2NT1ZhkRELhxHYUhNLtC1s2oUDleUouY05CCP/wikf2/MNS8Or
o3MENbO8yzmwUkJS1cHwutLgdV8Z7Az2iTZxo5GAFAFk60QKu1zNdqfaR4YrFlTmjRv/M+JCdcPL
mjYt+Z3emvPTR6GbS2viDmAaMtDw2GrOvh8IVB4vuI2zKfoDGGmaqf+fDmdCf0n3QnQa2cgzot/A
SJ9EeZTmvX+DcAskuHWqJiQGB0/sPN9m5QLSHoWdyXmnthnTJkOUmfc7eA9UkX+qy8+PJgwBGWIn
MhGCpAE/2wa3NE0jgjwCfCd1m/5YJzB857zt3tPD9t/FHsJjOrHrcdQNyZRGbC8MX0/WQ6E0armR
iJ9kD0g7DBKHG3p3j6tGGl0gpLH5LWGHqAD/gJf8dmFjFypVBAZu/V8mIkgjO8+LKL8rG8INcPpf
Q/kxL9c0d8IphubbjFl+WpLdrh7iv2HgODzGL1/X6Ndunp5HEHhL0qMDssrQ8RvkHMwOuSRRehut
gVGjEPll9BSHBItqbnxxngkmb+8Px2AO18TxZCAHk3UOgRnt5nQAZAfqdGA+6+5YCLshKnmHgraX
ZbmPUSjV6UUiLeAzj5GG9Gme56cjCPwAJq3GNYaeIQPLLG6j0FaF9TGdAnja0wEpHlDsMR+lhAnx
k4c5AZ8TwA3u0lYWwQMpIQb5Iw3FTG+MiVdLxR48npVXPK+lFw4B+r2pgBk4BsIDzBp38OawfLTD
atZFQ/Ibj+ko8IL3X0DHzEdDbEU2EJATl253kkKGYk3WaQwr+20UpOakD38UlhRzyz0UaUV509qL
XeZnooaJXkli4kK4ILgbTHZO5s993t87kWjK/PbAMv090fnIaw/3tPi2DfLZf+q8orQwhbllGxeE
fFyxYPTaBkFC/mzQwuPXjw+Ls8VQ0XqS5msHJDi0WOueX43E3Vgtf0VSUx/OtX4CUTMnPa6jMRlZ
CuAamxzjWVV4319eq+b9Hr9UJMAK8o7hBALe9RHzX7+2wtOGFDONw+w+CkaeiA9I1Ywr0q+7mEXq
7CHWcuKdCrCzuyPo8N8cK7fzQ6Os1MVI+Mm/9W4PtZj++YUSiRZ/h0wqNqd1lQceuOpIeWVZWU2j
x/m+nZcxSC9pXRiLjoNXhmW1cjFG8frAJX8qBdzUI+aMVDsXHUiNu0+7j7LxnKp6+9OQttt3jreM
rDX/WLd6qRhIblee3dVCTeLxXokewQGRc84lKwtD/8aRVaJFCa2Y+4iafSzRepT55GdYVMjgaryb
dMpE2txUsvPG6RONNjFE59AbtWffYoUPcG4S0zyuPp1SZrRDbdRVRBfmYdtFwTs20zHf3lQCe/l/
VErScnZT53bcZrxvIEXK9hFDrG1bN0rA4qYf0sEuCi/xp1yvOLKWGlfHm4qjdbMHN1zS2cR0tVW/
XorCF9NwAV2L5/GuIdymW94UqSNZ6QcyrxtQWCyr++oiDb8J8ou7WFU9XKacCD1c/TvucazRBQaK
23FwZAfcHaydQe0l6Y1KfdNLf3W7z2Nn7nALhBDdT34cd/8eJVbvAHS7ytqun9IRhwQRS/n1pQBR
rNHDn45wdH9/2l5e4Gb9/veOi8QAEDYQDvucDejzbH0zVxN8YjvN/WGy4uHFpvCX8vq0K1A40hMA
+7z8nVfM5JcvNW+RQSrmBjbtIYPerw/VrHm5STmv9k8D41GQqxkwXWzocxZmn1NaOoCal8N56mzd
GqNb2hAwFQ/T/uwfODrv+TXqzeMnQ6KiuWoHVu6WVVr7/+EFcphjb46KvO6MDgnLxv1/1OfGvD9k
Pveeth3vbdPHGdgr3HsKe3WYm/vIN+7DQ3xSdP1ILSh3mizOXerXhyXtAh5030aVygXEgj2WcX06
PI3Rbv6LdoCWKB/X1AZvMr/58kX+dYaPKOdhgAEI9S6RuwbP+/Ua8yIhW0T9CnK0L8EVRSXfdZiP
D7XFYVs+qvPLB/C85YhiwUV1EJWwxsDQngFnuSKnEB93fJ96wgDEB8x/EPr7mz4OJuJ4ALudBTte
i/Dy0VwB11/WHIAL71rgioIqeBzVr9djA1RdPE9lD+Wcpv1wR8Rh5tavhTcLZr49Bpx3FwAMkApA
0O+JOEYzL45XSlgRgcefoU1nft7xK5Q2mfzoEhjh/CvFgODkSdS+mY1TpSva5Tqur8r+EKhuuJti
37i4KVxml2PH8cvvS08kQ0lopzD5wmFRAgxK0hbo3WM5mTnr5YvwW+cVwTtwHQhHBBj3f6OaA2ZC
t4F1ua9IN6fyHWLlqLWlVt/6nY/B5mDEZvbOkykewpaUxLFdh+j2SCJRzG7swHr3K4UymnhQD5Ca
NCZTRovdCUvEkuECD8g63g06QEiGSj7IKeO248PoUsyVCXfrcC1xLuK5HzCY+yeeOrvcwB0dYy7B
ls2IMgdE/YvXEoEHNA3Eq+BRJvnVEKmHELaomeV5u8+uXtqB9Q3vHL+Gi9bwccAqRhTlNFidzOxz
DS2Ids862bhSjOh38D3avN4gLnr3hDyjWMTPj1zKVFMPdCmNZ32SaJ426yxrQquLW+d4scb+sg+1
EiTr3uL6R7x3StVsmMnjyGZVowu4H5fMjtRNuTsSFG/yQGPb7TE4R6k6OvZwN9ROQ5dN9YWUOCSx
hL8BWgLAY0duokfbWVVfXXi0Rm50Ol1d9WI/pGa/uHmLOxE71/4moqMk5Bqh1XjBrhnaUzLv2Q4h
TAfXp3YDwwf3sojhlXpR+jMJ636niuwPK/XZ29DMDGjeGYxXlvfz8MoH/xnib21ZO9qQSQ9dbOVk
+W7ukC//UO2M0vjwth+vLDlmA2xhxqQwBYNZAdoeTWLAQWf+n1jz5wUuZiY3b3Z1fOQsHOWzQ3TI
uLFSEgIe5Dgb4z1dgeljg93Sng+DSZ84ruox9nVbivv59dD1Q17+9fLD/UxVwyWDTOXVQiARvFIk
RNHza4VLh2jFCO5uD+TDGaVxXWC0fgLf52HxiiE2cO0Yjp7/fnPTyZd0YjEoQIdvE+wByRgAoU3C
Mi8lYnlNC3E4+EX6rzg4wILyoAVjQl48U6p01vSmNhbDQq1SUZCPGCy7NhpIRQr7ocLDXIzTIj7F
IR6K/L6PiYoeoEWCzlRGURilLporyA+AjQ5k8w8X43lfg0CAl9Qhn6bNgOp9Xu6XbHXaikDVR+JC
co8kM1oq5Z+rhpcfZbcZHeIkTqp36iU8TwZrm88jABbvbYiiGXfBnPQ75Iu+22TtcIkK6JkEPV3V
P5HmKJcPveX5tgk0jhedkSMbzeungBdRyOFGNORrt6+YL/stTLLOXvR2WWqMzXfw+V3zeRHuMqD4
qGZzXV4++edbf+wAmwvXo7PCFfLbexnyhhx/ynzxcLQZtK6i779gBpy95n6cGzJ90bLuuTBHdsLL
R2DesPs/3J3JctxYtmX/pcaFMPSN2asaAPDenT1FShMYO6G96PuvrwXR30uRimRYTistJwpKhAMO
XNxzzt5rf9hWovBabkO4oMvYzjE/3YvYkvB3BzZVJLWRGE+AxXvndoqynnoAI3nF1vrdfnCeF56X
6hQJMs8Q6qKlhXzmxaRxvHwFZ5dMMJNjZhz6d4GDRr8Na6gUKjyBdk0bmGiOCNQLKjEdv9MiBOIm
RiH9LtE4b3XOZ33WNxRGmVfz7dfX4M9LsMz42WzIbK9t9fOkPzIZ3g/cenuQYZgST2e65vkszk2E
81vy6yN/HFly3zO7QRWDxIFXPJ2nT9vrEO0nJbyt7s/X76ysSN53yWdC0QgOGy3k+0b4DKr5+mP8
sT7qlJhMt1RuAZIqP+s8ct0YYzPKDYJoflUzeaXpQt2MpCnJVxmkHTVnd6XhhlyfcR7AwBl9nwuw
rz/MH9+GjtaQ7hdQYjbEqJg+Lo6gBBxCDEZnn7/jrN7hQ2demA2KnDvlDBz5+sDKH08jRRXQLdmw
UdXxVH76NiLgpVHhZNWhDUMAZP4UppjP1wMw9iD7XtbsIeLOBT+0yEDOnZGzAVB/J8icG1znzbps
omYkP/Dc0T9jdhLbHBwfmtucO17YNwzM/mFJ/WNF/ZX8tLyPOQ2y1T6dB15yBS5QHB6CDtwXqiq2
zxCb3uF356fx60v3x5WjJAVhiYICpRCK9OUG+12P2Pd1itZEOgin+iVdb6OlJDs3Vt63c/lsL5Qi
wHeLTOrr4//xHPEE2bqOvVS1qVE+f3MtxsSMoNbqCMOcHep9N0xLBhwyoUWO06EVb+IDFJxE1bZn
gdb5+/v6c3y6DsszbNB9lpeSDnneZ8VNn2bhDMxbOZx3lPO7ou5MRnufk59RTOp76tzXx//UA+P4
7PUUvHQs6eqSZPnxe3BkHWIcZe0hzIpFV6SMmB0Y+3XvzJevD/a5RqEBggxZWXSIlr68RD4dDYmi
PodNYp4UfYk/tb0Qz0T/WOG3QbqpgjoRoU9TMaUlg7saqbi1alQyY53HChdI3e8E+Qh2tOMWVsWi
+4UoPF/S1x7Zj50vUNQ49PR3iBmSgQy7d2xXa9vIWXzeIYtiT85wwEPZ0HDw2vi8fuHg2NuQy+PF
AI3L+VdqE5vr8r1uqppy0UpjlU0ExlveDEI69qRG5N3uzJAKk195en2EzAVKetEtbKzYVhb2FASg
ZeN63pSfEWhn9te573TeRSZcAR7AFtnCshtPLQV1YxBCfYq2gpcNdZD6a9cnymT5zZMVK2ayGfRJ
NM6mU6wl9/NdpDi+F3LlOynyjM95v6NowkeiOABNbePKk94LiHNn+v3Zxw63lGO8s5cFKXuHvec2
8Vf99yEGeZE+nDu2KPmNIDtKI8KM9qAo03KhztCsdxJi+17anYGXDdBtHrEzkCwnxYIq6wycOvO0
zjJfILvLm78o4m5pt5y9vfWI6g8AJADJaXwapsmuz+mu58Drq/fWwXuA80tRsosIoeP+Cq7+nz/+
31P8UhdN8bP9r+Wf/eu//9eHP23eiosn8dZ8/ksf/g2/+nzoJdT6wx9Wn8O1/0189s1b02Xtv/nh
p2ztjr3sdPMWwrH8PV9bY+n59+naLjagt/jz339P12aJ+msRutHS0+j+UhT9d7i2ouh/0Vlc9LoK
eksaU/+Trm38JROnh+qBUDllWWP5UfOers2/QV1IeYWCib0M2qH/KFx72W/+q/uzrGAyjjJ8Afqv
cZ6+LHG/vUrmkiGvrgxiN8ej6WrhvVSn0yoM8hHp//Rt0LE3O8kx7XelLNKd1fXxFm7ZxeQkP367
ZOfb5vec748bkfMnYY1ji07dyHl//CRdE6UiCGKxK9NhF6DYyFxVj78bTqn8Qxmg/N1Jcw2RSauW
rnGpPx6qahKmfqITu1YOHgAcrtRRPWIN1bYU08q6DAKYT+GQXZB+B0olLiZw8hkNAVWNt0rXOKuv
T13/HEW8fA14C0iR1CiaEW+rHz8RUwSjjQ1H2raV5A+AcG6SYEsjMb+FQtyv0gj1Ydcmfs3riJgL
msi6X7C3OjDAqzYKkOLDBBwHNFoTgrM2nsCHeKLa9VmzVhoYVXG/CpzkCeuZwkCVsvSVwCTd9IGy
p+Bwjnq7QfDXbjuspu5kCr+SzIduFuZqFhR5ndjHcByi7r6DKuJWEEUuAvr/pHioJz3ZOZMU/1TU
wbqiw9g9Ixtxeb1cdIFUr2F/qH4Xzkd5lL9XVfC9EMldNx4i54KqnN1lAtjNTm5httBwwt7ognK5
KPpuZ1pt8Exijjv1WX8LF6o96IVUXdnC4fdPinkVVXVymkBFenJvo3qay8onS2B6juY5eyhia2X0
HUE5E/kXejEdpQrIojmfcvi6rh31/jSJR2K4VRAQdoKBFJiDZZ7MyNkQLLTKIqGifjZXuGo77L3l
/aBF+spAw5d5iYWBkldoGnlCjQLXapoCgUaDWg9KxApPsu3RvgwOVp2TGgeRJHZLh24dyivTs/tM
XvfZ/CPBUd646Ajz7TBIBhzAQV0mjvuc5sl10SoP2H5Iaqnlfa2X0kmq59eCk72wgrIgBdJ5RZc9
uRKAEpxjZYJ9iic5AfC/ESADNg7Srr3JLMkHDpZ7WKjZJYSp7UWxML3SqVReEv1WFFp92WQ9aUd5
sRnz9iVxygsAG8dxNu6nWdnnsr7T1DgFwip+sDH6xmTtEfquzh5gAgAxmc2OPXi8zcFPeqFcdX4h
dcphzrLeS0u+16ghb2iiDYrZWzDOQM/hpbVdgc5Oc4yazV0YEZFAimp0JCwnucEAoN5TnjjPmBql
K0eIoXHhw05wfwd7b+l19NLAqLpMxs46ySXjT/JkZO1HEybOIcQ+Q52Nx8ulExrtIsaDr4QAhw9K
pQc3Gu4/bF2FMT3nWB0utESOLhckgR8wpr+JYTClrjAlLpqVqs4tebij4WYtYdBOpyinnPbPs0Mo
VL4qRwZFJF/0V9osjUzVx3wDQKrct0rDWMuSFqOsNNy0CEuEr8OA3M5NDBQomeafVRoG26HMQXdo
+YvaKeYDahAmJV2WX/U0CHbdHJk3wxgOJ8A38ymW6+xqCXclu4KgSXcA0Heg2HKOTWkVm2lubc0r
a9U2LuCetVt6xNN9WcXaFSa+/mQkk3zL8vaS4hIXrmqJ4S1TtRNikuh2LhWpAm+Zaz60E6VvVtHo
og3VJVczyvalMuTXDo/jUy63T9gZLyXZjg823LBeCja4ZVoXkw7SSL3Td0bzIx9Yu7xGW5Xkfbpw
F4Dw6XC/lG58sMZFt6xaV3P+YC5/H1KS8LC4e1J2KMEJsTI19xrKKDRW9nbMxpWQGCYgftNDKYU/
ExuW2+gW6Qv9UPm2/oNtDfNUvXrlkmh+1k0rKQg7AH8t3mp7Ow1qx1YoBRzY1mt1FHyd+74iPEu4
c94iA5y3GglAvZPVnsw9WQCI66S7QC4PqtjgRHRZaZWCLJTnLGjxMyuOh84GaNNacUTvIsPDUyng
AigPhIPF2tJtDB8siVS9od91A0CwUDvEI5lUhn4gII440PVQPlT9wcQmPdvMUtTUjSwVu1hsXRnd
Szfkltun7WaupDtyHl1FWQ/qNrVmF7y+2/UdbHXpMkn2KrC9MLF8fGJeZTxFtrwqumgbynm0VQEV
bBvykatI85KxFZ6e5+ouakISArsqc1GohVq3nbVb9khenUtu0/+UUilaTWbphVWLeTZ0gbweQrvz
Bj3zgji4wjm4MerC2URRvY4WP/NMN9VkJcf6j3M4Nr0wBy3TRysAtF6G0x9bqUuOhifVpPnI12FE
4otWoudc3jTzvMmmO4sFrUsuGZYfMplnrr/LovhZs9/MQjJdMgWzDXLb0gfhdFGPJymYbiXsFyvT
oXtqKRI5yI0/49g9jcgvIRzA0g7YiYom90pMKFCKtIs6Vw4sIN7X73JD/lgV/trILAoeWA9LECzz
iY/vcoV2QG8YRbqLxw7ofszWKbwY9CDzK5aOskY0lyN3NwoJ/cCeJqyKcdp+VFG+bwTpbIZNYo/p
rBxir3ftsKHMmFYCOt1FVIwzDRHSnsLKVwIMHMjYixuKZOWKsUnDqqg/I3C9rGaa1EWiPAaME/xW
LkJXVbZR1N9jGKjWjdncJ5JN9GLf8UxFde9jyeFriIPvsq73cIsy12BqiGJmrqDf2xdBMqmrQQuK
b3WrlzF3Xf5dbaSLqUuKPUSeO3nq6rWR9A9ST1pUnOxpThK6pKq3ChAqwCjkm2HvOTmjvmmE6LB1
w5EIDXRdY7pXOmltK4O9TbBHITTmzVQjuCXfr7vn3RW4bSEGmLCBcsu9ctDDPL0cUoNJWWuvp+XU
GSa6ej32vD3yNT3Vm6HqGrdSxgnPTcaa0IO0ZCnqpOh7m0nHWFfcyKl9YbBXGSfnotbGFYzZe3kQ
jxFREK6qwXqTN0XzYuJ3dWcJeEOC82/XFWVJR6kpt2PjbElo27JRfeyn9pJExTcomnAVDLNAxUX3
G3Ip7XTa5vSPdFfvum2Z8ypMBu0ew8amlptnSGQ8bOB/vC77YReF7S5kg6GtNkBCHV90KuNyABcu
SRbiCG/nUQbjvOkbA9VumxKs3GSobm0dW3oL1zKuLhoQMK4twxZj4QhXchNcqegl3QmvKtu/b5bC
DeJMHWG5sbC/tYh5VuqU/FALeH6LW91N82ljASBczzNAaq58yi7MwpZVqOp+tA0TmWz+aJT9UwlA
4b6oxTMkHBJphJEtSmEv77sVMXQ54KSRVUVbAac7ggvcDFLOaiOPq7zaJVb1okuNB3/mGuL2SorY
xFlRAu8t0nwpavegmLE+V/EhUnJM+oHsz/ZwE0jqdSNDgksK/FaiuJBpu+AV4h7IJF9mGO3Tf6MX
GN9AZPMmMlJ8ecy2+Fe/qXN8M2rmifLAk3peWGPyYOf1oVFuVSffheNrGKnHTB29ciShiWjEjvmI
xIqWP9NG9I2+3tlBfaLMWpVh6sVqC1sOOWlxG1JLFAPZb+bsEisBf1Z2R+tR63J/aAivqIK9wEbZ
dI1nimPRrmyAZzPYVCgbODW+2bLXlTyHYXEV52stVza68WbVxho7vCqdbAOBcbfR9PSCvcERjMzK
JE6vy+DLbKZ+oHyZV/KSI8Xba/wRNpuuXUgj3bGrLtOyXxc1i331w7CnJz16KrtXaeLaD7OHXtdK
XltJXmXKVajc123l4xlyZfUqlxt/LAFLwHU1I5gyr0mOxyT6OS4DnHhdtq+IOSkN/FlIh1ZF613i
8r/JtQa+o7IaercvuXniiSjB9kII1h+FEXkNhShVveW9QdgoeR08dT8yRFEaVYxa71sMclxd+HA3
o84jylYlHi7KIqU84Aq3tlsXqm870YWEU1SVDzrvzSANXKfSyX10fIn9V8KGPg25a3uxbpuChGgW
HfNaq14MMa8myLldsyEe0bcBftsiulT73ktye4WonRAur627ldEGPgJ+v25HT215FEEUVlj51GaL
wdojldQllpmd8o1RAaYJb9mErXrb9s2y3AxL5JwWrauqX5ekCTYZA7HgUSjzqoPe5CSrgTswG8AE
jsN2chpk80QB1uzM1elgqk99WK+TGIKQIx9hU+5DsAo1FIKavBPYjrl+UpP0Ulb61WiAB5WPYCM3
0lQfpjnlsSr8ppa2KDxWc7IydPNGLxxXN+pjgQyTyB40xAczMpbV45SThWHql4n6Q1HAnQiFnM38
WutYtOunIb8kC82dwxejsNfpcIrHxs9HxzfkmOIJ+FRw0WbdRhW8sJu57jzBxfNIggmB5mbOhh5K
ivJXWbam5UUKahZrirwRaXyd1/Y1ztM7yPalC2ytWYcddYQchij1QM4TjzWt074/4R7ACMTKAKlJ
WY+i+Cbq8CeWhhOg5HlPuNftqIfOIVBgThVZKmhBWmurv5sC+6em9le14jMe2kh6aPuxVB8KsIhj
a28I1+LOZq+Aqu2NeWAIi6O8oPeGzyWx9W9Kg2QgMMTmfzcmzBhSXtMdzq/6YiYCEU5DRY+VXJtN
mCRLLSYksYv1LOPQFUK9NkbDkKXaFQO6+Ac5GPYhrYxko2Rm+w8SMkVdWgX/6uggKkLGYoKFWkAS
S2/60/ajxOwnplwNd2VLywZASzXeUBu2bgnTlf/YlftgqU9mO592JVS4qwxl4o6zilm8lpomWKob
gB8J2o6l5AH+6tzmvwqh5FdRJC310dK59fWlZiqW6mlc6iiynimpyiqVyLttogelHJtXW0riHe86
S3ZDEsn3Td04B8aa+o/GYqfqYjK0TrR628tcN6OX1DbsvUZuh4uDg3IPW410ZSRp8BzOrXrftRKJ
hKKMj1JIrYg76C6VKdHSUtQn2xQyWiRqy3mpMgEcNOtANZSQEkahxsd1ENI4mKXrzBm6F/Rp/S2D
7wfGb8Rw6iyvpf6Ilt0BlBFepa1yHI2MXNSsf5rNBGgKasXDWIy1h4bycg4pc0SymuZFKZMaGxk1
ox/VlLuxEvIOUyNW0Tb30Rs/jBlESWD0jyk6I27OMHeSXdiH3SME5b5AC51BAx8JeXaRCTl7ck0V
C2sEtIuVTaD4Er/YdCsg7S2LqVM5zbXgdrptlpKuWIq7YinzrKXgK37VflArqQPrpSTUl+IQVF5x
aH9VjNlSPEZLGQlRdz4xpcfuvhSZ3VJu6kvhOS8lqLIUo/lSlpIX5JdLoSqWkpVgrfRJW8rYrzfP
HwdLv7bOy5hjsU/rpPSay89/60bivigmR5ahORNLs0J+8TjYpN/Wpb6LzMHyIbziupHN+68Pu/T7
/vXI/HnYT48MvHNNmaop2w1VAfzRYF+lpI3mKbZ9/fWR/qbJ+fsJWvLHE+yIz8jSWsl2UTQ8S2EM
lbdHOzHDBY//6ayUj4XIshKoFlbOX9eSNqf86bT+tVJFVdIdsmXF4VG3D/qyCrXLekSD3dn15hCu
k2W1mhNN7KR4WcLQ7isbsnYcjFkIet47sP/RjOCuEPz/c+//w4Dg/7sxgs73/e/HCN6TeC5e46ff
BwnLvzgPEmTrL9QrqooBCFLFolsd3pr2//wvTCN/0cBHSUHRyUDY5j7IYchE/Ej/C8EY/SSYEtgo
F1jIeYzg/EXPmYmlQf+ffB4LWeh/D0jOvfr3mU74VvxN715Z7tvfniCkFUsrnXnsgmhS319Kvz24
TtWIuVPHbsvD0xzGKut8x8qA6o2qYHun1RcsdYUH0r9ep6YgPdTOom+/Xay/+xAf33zIwpmyYI0F
foIpCZTG8vPfPgQG5ZiXw0hsdyxwuE0yJmCR1OTzMu7qvJKOHlVh2T9zQ2cAc9tB3oreFiy+bR7f
i9TI3u9zbtK/vy7Idz5dGIb0ssEIx1aWtv4fcj00VaPi2OmwLUo8Jy5sQSrLkn4h5URUicdx6EJq
98KKaXoVmZd2kY3Jeg6cwR91gnV2E2TSyusV1UIBKUl4OachN/SnwajCnwYAGHBxeHgyNwf7X24s
s6bZpLfj/JhNRXes1bB7Gcq4nlxYhK3qtpqW29uW7PWbUcVItlXA1lUnbSF8M83UnMepIdchs+o3
XVOjnxBuo9xdbiTjmgDPICRXmh2tP8vhMK4m/NDmHh89Rq5CsNBsY6WyL2TMkLPrDIoiCFjA0nBQ
Qhztm8IY+3wt5XScFgxr0YPLQZGxT5F/v1p2YCD6tbDyuSqmnnil6oFoVoDYtcp3ujIc3CiQFGkN
zS2vPNugNQzltsDx307p8JpVqu0WvVV9D7UCDBIw9BlCZiRwDkTCGGa3rSmGRCCKR6k0+8B3kBgn
ntHMLIj8UgseG/5od0Dv5hCZiuPPNcKudzZKVwr4gkIudyoDhNEVugqB3Krs8YnWuw3/vEAKjI8C
JR3nMNJvyBmZ9IA9dfijgmd6XNVFVz/PUIhLqr62jrcp9qjymGiKKFc0b9lH1Eat7+gXzNVVUxn0
aEjqiGDvZYN6aYFtfgsIjNc34zTKD+RwhDm97UHS/SAM5F1bS4U4DlOofx/quYfoiVTkqOs1IRyw
CMCgItf8tmzSWiKspeQas7L2UutCv5gkIkdoWA7iXo9SBiqNw7DJM/B2pf40WtJF7BANSo4q/Xa+
mNmo1nk20JSJlYTrP6rmQdUZqFH4FiI79IHA6FnwRQPPpRLS3aQVKoXjqMzPoPsH2+uwKmIrweWD
d0ZTO8+JrOGubE0eBkcOpI1Bkm29UXtVtn1Qcjn39Zzkd6xmUuk6Ae0w1x4tNQWWovZhspJyvdXv
yNEM1WM8YTl0ybCi2xjW5hR42DmBftplPjA7G4hXdVuprAM3QfB80QG9h5jPFvMWYXE0kJVgRlSn
mT39pMc5HyG9Vpk/2a2wVnJeFBjHjBaN5NxBIF3ThiN22xk7o6e3OdXHdjJC4xpYejq5+sgghqQp
hu183sJ4sGHku5McfSsFJUIyvLGIWyCex2hFkEb7hKH8NukIjbJkxBrOM9aKfqfNs3waCvWlDQLP
rPddoKun1GLW5I4kCKK9uQ+n8adl0r9XG6y7oynqde1AAytIjkdFHrsGz1Scmn7oiFe5HE+VRUgo
F2gy4v3cNuu8tvDDToi5i8w34RRbbX9MrHaPaOGuqCV3kihfdZmpCQtJoqdrBjQkl8cUejJM5jL2
o/hOdpqbLk38wmhXUCvF0RrnfVEOJo9EYNKn6c3QV4ZC+dnG+vhoy9VBVTgD24i2RrEvsIW6ZGm5
oSLRPfD11hr5PcmRWee+thLd13LwR64w9Dt7iXZ1DMzfjoKvgBiCNLcM0NcWV1nuLKJqndKLpsJL
q/qg9HLmGzVZpr10IxM95EpV6Lezc13YQ7PC6UivQkwkyY7jDyAHb3Fil9cEsy88BeOhEempkrNL
SwSoYIc23WQkfXhjQ/56kafzIdf1y1x9BIF/hRV9C+14XaeK/DpTo6pK6E3URx6M+X01avCTc1jR
h8jqmlOXcfOlg4i/kSl0H5TGBUT2tTRriU9/tfM7HZaB68xt6qsms4oyGldNK4adoRWBR/uPhNGm
um4igfNLuzaafB9a9RM5GvtQTsqfQZCnKyWI5++BPNJ70mN1FQlFc4HGE0cqVxn0ZuGs6lC7IeUI
2KzZuHM/3ZJfU/tZYN9B5qe1V2oohI3iFuA5GYBS4svDalJgGK1pgnmyVv4MuzDF1zbd6KWydqaU
JhrMIYCeBDRUpdbtnHG6bKRRA0Et/M5xrmEiPCAadpftgs2yctQ09ZtiilvcSXwQbmR7nDW+l9Dw
cIW0T/McX5hlcqnqubSOphe7fkWAt66a+uQ0LZzGciJz1imOdqBBDxqS1mExa6pHaVAOSaGWXD4s
/GVw2ajQzOBPz/3zhJvBs+pY88xGvgeBumn6/KJziunHqJS0xUpZO+bdXBNo1tffAmY9endSGAGF
mcz9phizK8s6NWeWDWsyqiRXkpSHPqy+O2N4tOxrqkrLbXXzSHD8Mcssn7a07kVzvCrkeo8rjkap
/l2Tx2MDm3s154kdM5Qaa8rYdYJIHRFPl2ylSLqv0uw4WOHlBIR9P+vOozJqxOeo9ZC7ehj2a8If
yrVElXgtx2391pY0qkDktPkxCYo1qVDQoAumvIV1j/k9OjHHOKoaiQ6WXN5HWgJ+SmMiRs/ZC+NZ
35TxQr5c2m1ZMt5UOrxlPrkESDVs7vKyNdyc75WqFnDXnaT1XpmEj7Pk7PIy/s5wfNf3drcKzd5c
GYVS8XY3hGsQ9isRsNOp15gSrmyUDhI9a6nUtiys2qbLHVr23xwz8ehHKXT402hVK/2mwpUCt9/Z
8EYBNhvuZGIxgK1/AyYw7bqq2QIRmA691Nw7hV24giZ6M0KayOneZZJSXkFKNhjIzQeJHxvo192m
ZG/qxrzvZXM8JYBO04MQpIBXqnGn4OdlaBLvw1oHyZNY8etkhYeOYAN4H8NGnpcGr26HvspCB1o9
9srIEht1RlEGyKyROi/O1ZNKuknC7KkgEwGG8KoKgxh5hKm8cIKXZi3EBtUwmPDQuM+1sGPrYv8E
YkJDVOtU2Qu1cZ8WwcZEDweTOj9MJclweF0Poyldsh2zHtR0elPhFdbkCGzyXjoFoWVfjUU3bqth
PrL85lcYU6oXx06IAcuCSzuDatvX+RryDCkD9TfkGus5GnVqQMc5yiFrA/tQD0HGlpcXFHLH8FQr
QFQy2Y1r5D+bJiNt4VHGTYBjhU1RVhZeobFLC330oW7UlXdxPuwIZ3P1NOfFok5PCRkvV0YorsoY
CoBflwP3mhEAIZZfJ2VY6eELgKejlUSrQXR7s6i/5by+PMTr2ynJXyfo0ptW0Td4skIe+nnfCOUS
vV70mGv41InW8TFsNge5VCUP/5HbiCh86nR7Ztk3dnJrTIeqnY19k9qHSQ7hePI2H0R6b0W2cTs1
xO6xyDXlt2wEQ+mq1dgErNlV8ibBHSYiSCKNa92KOLkegDmVHkAZul8iTFre0ammbfSGrq1LAl3C
uK+3rMmNSqm6I6vL/o6dDXFTkYYNfuXGvqzbQfqZVJPab2Wi4daE5bUMd7VuoAukSimQmAaEPoGq
9si2J4vtcpNCIGe/lTYZtJKimR/tvBSPtjlSBmjS8D1UbWJxkyJ7Nls5e8uzebyvAmZFZdllSBKI
1jpqgyZ6j7aRjn4C2tii1Cg7aDAJMQEaWvSIa2lHqQ+mRX8KHYmdO/nzzMZN6L+7tJWMiXoF2agf
g3ruNpM2lLu8cJju6lKkRR4sqSRwJQrWlcWlLU+5BSqexmREazioE0sHHNNUt6nAorS29LwPwaiP
1ZM+zvJLInMEXq9W/KCEuj3Av62dlFpDyDuobOklyL36MnHqoPBwLGbSBTj2MlvT+7LVzdy14y2Q
S+e+b0fadXEgw3YPoYQfJnvhH2GE6COv1yROCEsSl5NpsbZjBwtfOw1biauPVoKxYhrK1somw4SK
RrbbKycFQOXxsIRAB1LJvo67YGQLReuKOVvgVKUryRNrBlukHF+jxH1XRAn3cqtF84NekISykQNF
elPAcxkelNbuekpGOEANm0BmSlYeJ/6silADdzXi35gTqaNvHY0SYbvacxBp4igXjuN3AyxkW0jm
qrSk7orgreiVJ73rPI19QOCRjxTOnlzbyXMHYY9oImEOGxhA4m227Vl3rWHsugtqEpOVSgiQEPFs
pJLnKEOq+nqqSMm2AgPEDEZNh8RrmjQpEXXp04VGhqDqDxCkqE9TgPKINIr6uXIMplxEuybSZUkc
4jdosKCElKrvQFqKNlBXJuELIVuNroQM25qO2AaKGXwXg+S4RA7EZELMdhiSL8EW2yMelQkzlp34
GYWzGvv2Qkj0shx0pCsPOkUD5GrjcejMyCKTzymMVap2/QlRU577URihA4LeLaQ1xAE7XmlJ182P
hpwat2aV9zIeqJB6pOo15pNOZANKktCGVL5gu3Qnx2V0WyVm9izGwfgelQrSAakvRL8jy4y2MgTD
6q3Cgy37UiOCH7XWM1ybUBD+zCzGEyR7FP0PgkhL08eLkX1nhUraFflequOlmazzLotGdie9YVcv
fVYEbyHKJ2bo2gJwwiEa8DYiOiv3awnT2oo4mij2xUAMtRtGcfUUTul056BvldGhVA5v2DA18iuT
pBY4EyNCP6mb4+va7tvBo9SKyR1qmqb3JnjE34zErIe1bSXpU1gbqeMxsnIOBqFRoyeTMFTQpjTl
7xx/Ttg3tmxgv+7ffOrC0iLBFYQZBAwKAknTXnqnv7VvNFWSGVYDITAyNdgVpsbqQGtrw9oU+l8f
6mNnFFn6cih0X/iPfkloF2PBb4ca4tbuVCTX24S/4hskD3mWyrzjPz2KAUEAIwRGfnVBR348SjJI
iopEEl1NrUlrXqIMN21WmK+P8tEEsZyLQWuJ3SOdLwsA6XJZfzsXSUuNEopbuV26Y1imuy6mIjO6
q1mP9fuY8uFOc+Tx8uuj/nkFDXiYnBuWKocd+SKx/e2oGZsFmGV9vp1NyjpGQSFhj0m+NDf/pwH6
Nz29vzsMJATHhGUM++6zVx7uttOBYci3ccQcwFLz5NTBZTh+fZS/uYT6r0a5rZuWAcnj48kwho5s
q2ee25FFsiZfZrqDT9/vJiSQV3VAKqAsBen+64P+ebsvAAL0QSaBjDLk2Y8HdWxmDbI9NVtVsnik
2Tqjj9SRgA16u/r6UJ/GKsstYqBHWjzDC83e/HR+RoL4qJSXWiiTijczTeg/6TDTiJrXHem6N7uI
jWwekaOqCnv8zx82A5MZNiGMUsuw5eOJKnHXtxKvxq08Z0TIOyO9kHjq/kF39eedgmJ+IWPxQOsY
2T49bNUMnKKqmmY71YmyRoz6PcTJ8p+fisn/wEdwCMX+fCrkuJpdQsz1NhlzSndaqQ92k/zndwar
Bm15hMW6Suv+053REoU4WVrdbKEx0vUQrXHZkd24M3HF/MPA7ZOd/NdKaC2YTWuB+bDyfvpyYist
5ZzY+a1CFTqQgFzQGUp+8VDNsr2VdCnQkYgW5n00aVRuI72oV2hkiXAL6o2KDBpGq/+wpP15v/Id
MsrQAK5Tqv1yDv62uMwYMjUyHZotr7xne0K/SaAUxNAXcrbfFHDPrpCqf1hpFkvFhxEG7wRLx1ql
804xFMv6dAOpnVBKo7PqbcnjutbDcj6R1NXvVTWI9mPSqNd1Y6crtWgd9PhR7DqYaQ9lFKmXmpZZ
e1unBIitarhA5EjHXhWoG9hiDWs8euk/PNHLLfD7vGV5ok2yCBi7cN4IuT4+U2NGr8poeKIdVe/9
hUZ6KQZgn67WBuUJfoAR/T/mzmTJcaPZ0u/Se1wLzMCiNxwAJrMm1fiXNjCpqoR5nvH094uUujsJ
0oimetMyu7/MbpnKGQGPCB+On7PxTa6vKyAFGgPUBmII9JRWzUSTSEcz42k4FV2h+UVdup5qigo4
NxDYl+vqoe7g/13r7331q/hEAeNX9/aPat1K/P9wjAje4Vc3txxo+mf8SM5B/c//8VT8LItf7WUH
8OW/+acFaKj/xXbKm8ExbQPS5//VA3SZGGKgWfLYSfZxVQ6Y/NMDNP+L14W7n745M0iqsLk5/2kC
Kip/H08Pf8hMPKOrrvNIF/Cq18Utz0w31XgB44LusNbXMYEJGWhgwkPs5XkHA6KlhoT6EN2M2fNY
qVXutUokpncwvcT5qUbVR9mj3Exi8mrPbsQMV81Im99BrOMKCSSA72H1OyIb0pYq6A1v4FwidQW/
UfFOWAPpHlQl4q+5yOnxwM+a/Vh0lx9kznHJWGMdfbr/S9an1IYxXTL9MM5EEMOM9eWGTFpI2XFq
DU+ryx+AZsQPxBTG70rRqcfeTbbY+6/2H3M235Nn3pHKD6tLIYCQpusQrfGiztbepSTWz5GGWNNu
FJH+ThHTQKKRKsufdoH+rmUEW+iG9Rss1wsnOD1oppLpRa8erlaLMovioEFNK3M9F1Gaj0bY5v79
Xb1phcfehEZA8DjIP3/1OiCV2jvzqLKrWVN+K60sOIZZl7y9b2V937EWZvWIp3VgKKowV88BNf8+
DMcaXeuxbc+jYJ6qFxkKglPXb1yt1wsi4yEqQ/cAfnZyhcsFSU7fpeSm90ZAGc9m01rPcSLiz48u
iL1y6EUbPBj0/ldBYDGqlTs0yuCNNmmnVQr73Cl0KYM+zb7fN3W1IBfMFpcK2QEB51W8WYchclNm
i87inENFWqb5XkyVvbFtV1+IWijBGGN8LuQu+PzltumLOwOztwPqkLFSHpuoZiRkaZ0y2s+MDv98
dE0kcw4jegAcoJB4oeZ+5XXo4gBmtlRY0XtoRPbg+spxDxFu9+VxO4x+2kzb6ULmPJerGqamtPq+
CTwGZvLfHJFpOxtS1G//b1ZWe9fYgAeMqg3gk61hUUzN2RtqYrr7VtZfiHcAhguIayUKwTT0lZU6
SiR8rRg9O6/mt+EAXVG/GMXXMALX8LApuH2AWMBlQbK9zoKTInwRhxqp7aApyPR2Vu8a0Yv/ABgp
tg7siqePqBmKOBJS4mY+EcATeQBeOYOkXIYUspu8YtFj3WsjqPTBrZvBc6oPfQFTB/Xng/wf45zk
UaA9gxw0h3f9mDX5nsl3VT847TJSqAlEP0EJvlTfDGNAvNVKqqL/Grdwv34i3qSxYXep3e9yNa1p
JZtjtRx1Kuy/lbkSo41Jf7N76mo7/q5qBTqddMAFrfWmbyYPuKxaPMdV5QZP8HhZ/hKZbu9X9qjm
T6OldD3o6EE09WnW0uKrRmfrDePhBYDkTlemDWjq+jV0ACLxxlE24B8mmFfeoCoZi4qU0ZvhI5U8
xe+SufoZ5MtfdiQ2homvPQ9DOjggaPLhdFszVPQ9BJZhLkYvDxJEVyZdPxjU5rwpYWLqvufJA3kR
iss1QcaBagJiUVeMPrMCPCbUDIqftao8Dx3bHAz14hUFuFUBPPhZMXT3432jN9ZHtMfLROUFqOT6
DSTLr6cyamfPSsHsx2EPkkYYgXqywak8HPoLBPd4C/mHKXVdaJfe3oYgL9jiiQbw1COhO05Pch/Q
rEy2eK5vrIsKFqPZ8laXj/vKFG1QtC1DwFmKG8EJl6ffLVRHKVy0+oaLSHdbfTeQYhjhfYKSeF0U
EUEIGpeyuqeYyXhw58w9V6hZnuKCmVdw4dM3t3d6+txUsB++rJgtgdTb4cOTTK4D1GSoMtvJi8lr
8gR0DZp9FVD+tp4Xmmv5OBwfdRaOgnz8WS/FurW52nEbDaJc4RVdpR0RzvqtWcDQwwefb1haP/wO
h44aGhP1JqkIl/Hl57McZCaswF08rTd/tp0ZeOhCpBv3yLWPYISFcN0DqLtyRwJ+q3PnUnglJfld
3VhkwX1EIx68x2/3d+7mel6ZWlVHytaqwpimrVcNqoEuclT5E5D7h92BBcm6kspngspmFTYTA+SO
6JzFW+a8Zsy26/0sqiom5KxyY+9uLAhgNfcwOSIVuXWNvYWYf0E4WzCtaurHordmEO+1ebi/bdc3
PfxmlLAkpxQBgL4KNd1G6WCNdARMJvDkAjobdW1XVCL+s1Hn9qgDwI83TN5wCuo20FdxlsF+Sgzs
6xeZl8sSeW0Jz2m1L7Rxumc7i37X7LZ5/GOR4hJxSp5e/G9liK5zG6aM5nsWJZjPwxz252HpIn+2
o3njNN1YE8GMwDU4s3QqVqfJ0MckXRiepBiF8vApjOwKljCzg4ABdaJgOt3/avKXX16IMAuZmqWi
DobGgLn6ankPn2lemgsxoTvt66b+3o2Qu983csM1LoyscvMEia1YdxZuCDUCreXCUnOoo2mv9PPy
GUGtYsMvViB4GarJVbmw6asoyDA8e+kYBTzGdWNrC4p/bZPt0HIBsxiYAxDOGnIsOqR5YTr7Oes1
zl4FMf8+ppJHQ8ius0+BKtJnI+7L8Sj4UMHvs9FU3+9vyfW+E5FZRPsym2WqVrrBq2By1qG8qAjs
vDYZIz9uq/9Y+qRv7PstI1ByUg8RNiwj61Ac0oeqhBx28qih17/ngR185v8Vb1h5aVpc+hB3C7EA
JJNUCq11U0OdjToVETXPpnDCAWyo1itg05JyeTdpvbHshigvR7+q2rw8lbRCyzdTPtRvG9Eo2oew
TKvsXW43rtUxqAvH7XOYlnWzU4rAbfdTH875zmpMIz/2AmnovZs71fSU8AXnk14sk3noLBFrfqOb
1adUGN174CudmjP8H7mf0zolENhFQHSnc9KhYA2IOY2Hn1oD+6YDJXXd/CDBqPRdzO0GkhMtl4/M
26bawyeb2SzI2yTtMh3IF5bIV58ccpa+zEDJebNjZEc9DBIofA13r0G5tmHq+sNLpktmA4gJqdyu
iwtVbStc+DWYtLKY/HmmV18zWLURBF/V3GT7DPZvegkq3D08LpdOrJVwWle9PngoJfyZj8v0U2Pi
1bMAjDB0uVRvwn4u37QdQ86KNmnvC4Em6MaPuL4vpV4w+SbNQn6FWB310db7NKwYtMymONtB/NF/
iwCS7ToriDdkQ653lTInN4tJ0VUud3VXppZb55AJoGNt9Ix2lwTCS+jOh/s3w40F8ZbxFNOZ0FVK
N5ebauiNUiS04ZlhS8DvmYv2cWFGB7x/rT3ajRQsCD5GasW83K4pf8orjxRK2nZh1WIqGbKPYRYz
Lk8m+x19peTfrIpWAjeExfP2cmO/MuXYsOeCMRpAbMatX1ow8FQMvbyzQhXGj/s7eJ2csSzLhK6Q
LitDkfI7vrIlpsQJAKJgy3WPsRp7fep8crvgvRmh62FnxlY3/tYnkxefDQUEd8SaTnOx7X52LWmw
FOGBjDcDMGpMJ4QmtqKsa1PU16gWUmDmWmfq5nJtNeShc6Eyb91FQQImq06ARAN9ySvYRe5vo8tf
dXmtA8sQMMSzm3yfNaWFi+xZxGCp5gFNs5XdaDZ1fZyIVOud6FGI2/HmlPoODbL4HUIFiEFDarbM
D5Zk6e5qKCFxyGFCJMyXv/LVx1w6w1A0JuY9nVFbwCHKssA61HVPYFmGDSeVjrFeMdVs0BsccEL6
leNYUxZ2YyF0z+5YTa4zaCLg2z7e39frT+hA5EjLRpYQuJvln79aUQFwr1XgRQAp3Xxmjr85RQgA
74hnQv++pVvrQTCQm0RiXjh3l5ZmlECqZuo0b1Jhssqs1gS47MQbfnLDClNmdJ+ApMhWqoz+Xq1H
LXQYY5GtQ3lcL/ZhZWq+rBQ/nJW5UMSxZcybkUGbq7cmtktYlsY29Gn0QCTC9FOh7UKlHMuNTbv+
PPQ8iYhxOU323VYnzETLJo3MECw4ah9nqzGSY8//PFtLsKV1eH1RYYq8gsYZgq4UyS53zkhrPZgh
d/f1GimBfTX3RAdKm1G77OJO/dqPao+iKANYW4u8/may+SdfbRgAaXesnjJlSgMYo2OUWYjZkl1U
ICRPsjaXj/oGxT/Kfjggn4zK1WqFacQTly655pXA/5mZhibAhgh7IwK9Wg0PMhVZDRQAsRIFuct9
HLQhiO2WCkQxWc6+g/11P5Jzb6TRV/chTVlidpBdTL+plIAvrRBSulFSCHijGEhgak7tVGdniQ7t
rTFPhvSJgqOr/OoYUYDIIdN6dTeZ7gKvyf1TfeU1/I4XwAstYXhh13s6VCgLwoLL7zDyN7R5zcNo
Wm8zV/0wFoxgWm5bbli8sb8GVxYzxTAAy1jrcuUDGX83WxQQ9Mmp/WFGlqGbGGi4v64rKxavDNzQ
lOfkkXjRHn51j1jFoKKcW1h+n9fiUNg1J2Iciw2PvDreWMFJOHUsBODh6j0Bjll1ubuY6GbAD9jE
yNWNWvOzyErlcH89tyzZpPDUeKjwEI9f7tqY12pezPSi7Vz7CaFE8K20YSNJEHzf8Ey5/xfvFmvi
fge/InFshljdwDXyIxqzQ7oflcDXs6mMDxNQvb1gbv8TgqfWsy7m+g0axg9XK14sszZa3lz+6xih
YmprmMpS97XWykhsQuc0zHnBABP8Kfe3Uy7iapFQPhPPySWaq0VOjrbovcBUNKrp29kdxb6kp/Ql
UursbC1D+uO+vRvuSPNCsrcy2Yy91efrlrEwErPWfUdXuoM1QOWjT2a5cXWtCNEpVZBbUv22QHYQ
hrtrBBJMbEOg6dR4Omgzk71VpbZgwLbum91Q5IzXMPgLU9SYVW7mibA23y3mXH9bUJTPn+w8Z/iV
G3YBXgcU4AcYpFyOnImy3E2wU/TvzawdtjAHNzxbhjBch+T73O2rFMXUg8GgDav5Sj51foUU2TEC
Df1stobz6NXD9kAMIU+rbCqvk2YYZ3H9ZdT8QOkz0AVzd7KUVDzd/9a3FkT5kBo2lwIU56vggmnS
VkMfyqAQoxa7Ht3hXWFSOGICKjn9C1PyeiNDZ2Z+fcu1ZMR5rFaG7w5MCGR6ykhgrCtMtIyPpqts
HcdE1sEIoKn/XN4/0dA0U6DlBgOL1nKuAQaDOFfzjbjs1tYBQKIKQABI3LyykqR5xC2rMPcyMzCR
jrazM0XEkHWUKRvX3Es9YXUFMO9vE5qTFwtz3b2ZodAa3TYx/KS0Om8c4cuDFlRlbEhlOlmdimcl
1cs3VrsknxMUIt9X0VgebPhFjorOrB6JmfH4rUTxnoeYPSbEMVZHwVHcOURS2fAZBI/fG+Zkfc+U
ejrxzIR7lLu7jUfyxi0omwVsNDBJyh2rwK3QMhXq0Nj01dQV+2ZhXNFWDn2slockjn/e99VbV6AE
iRLeA3+gVXHpQW7v9nClhaYf0ROjyR7pH7vEDTaWdMuDXBm7kRNBNLg+EXHKHBeCJRw+s8nfDYvZ
HiqqtsxhhOqGqRsLQg6GKENVwdGBj7tcUOgWA3xcmLKzzvIRjMd3Ct3ayCCuAjQLQmteKYBolmvi
FJdWjCqBzHbiNimY1D6UjNkcDXh3Py86JPtlZFTPiVVu9ftuxACyDyKb7ATAZEmXRs0EVpiySS1/
ShemdJK+r/5kgjhpGZOZmuYJucR0gPNQC/4QdrJ8v+8pN74hKZnLgwkBFYnFamNheHCSKTeI3bSO
SjtD4Z8g0TV8aP3q431T8q9aXQIouUisjMkVABrocqFT2SygH1goX9Mxj20NX/U+7WjHP5dAdaBR
TgPmEZtE6z84xthOfl0Naejd/xU3txs5DJuMg/xG0ri/Tnoj5Mi7EjJqH4VLGIOTLOizQ5ot0Vuh
BozNIGPbfyRIrw72VOgbxm/tNp9Tl+B+ZJ3c1Z0LiLFGA6Gy/aHTWr9ljPIkFMvyFB2+t/vrvHVi
Xpta+XI7DB21utZmMBd6OrFAXchEXnl43AqjeTakNBZh5DoRjseF+SsaM74N5ejJUDP3SUuYkPoX
Vogh+AcgNbni5TdDpq1oHdRUkVc35qdWT/4jy1Ybh//WhhHy/28j8tu9ymJGfbGbuZos34x0wxPm
9Ekwz7bxVW7dMA50QLR06Utaa0YpRJbd1pDYnnTs3nB/w96e1m+oikW7cIz/MPq033C5W8tySX9R
IFFBYa5PncZcetMUJGfggONv1PbTNyMdrGIj3Lvl2YhSSgAtDbyrEjvz7rGexBlmYns6W2TRu3oJ
mPgXpbaxomtTvJ6go2WZB2j72ufCQs9t6DgsH7rizpOI3kNO3Wq3LPnP+3530xLxCs0YwjGKSpcu
MUXdNDHmbjKsP9ZHq1CUw6zWKK3VxVbzwOKvurwcWZQBQEjmFYAlpOO88r5MVxdUlSzLn6FO+TJx
1hjZV+GZ7FXNYw48fvoXS8MSFyG8g1fo76xsnIWnlMs4Fd1H2SE8ULUY3w0ggjd8/toDXzpZAowQ
EAMUMi6XZpNW5lle4hpJFp1EXTGompXicH9BN61IOQoyMSGuTpa9VKJpGW/zkzCdT73Ih7fQ1mQb
jZfrN4wah6ZzCZE2EyGsorgkEXorK7a+CkcukgS22HdjOPhFEo9eNg4Mvk5ts28bKL9HlWLT/UXe
8hJaMX8jJ6jAyU145SV2p1CptUfuqGxU9wVwwp1o+/ot3N41BMZpsBG4Xz+WqENSCFQtwVvCDNWl
PWiCEUWHPds3UZ4R3lSKkmFbhE5/NgN1K8adZ+c3UHrBO/iH7K075fqylNal1AoMlXLw7tK6Cmua
43Yjx88150Fq/jbjE/RaRu7DsgRxcde71k97bknF7u/zDWeSbXcmGEmQaPav3uk0a9FRJ/NA/LRw
Dq5VBfARo2p038qN60VyjdncyzIYWVf5jSRl8CKLTL9lqTgOOA6tMNS91nXFvzDFYCYXmXx0Xqjl
XjsO4m2NyEyNBSWjXe3sMiue3MVdPkVzlW08pLeWhcwXgHwiSxAMq/MepzmJYJNbfhToyz5ToD+J
R568Ch79f7MsAIHAbkAT46GXHlLACAU2urL8uhETDEbQmqU14ZVNfWPDJW4dBVhaqfYAWdKM9cQi
TEZuq+kNkU5nz2+1cNQOWhDq+2F0jC+GUVSnOtcXdNo375xbzki1mGiAeiQ50Go/ZxEE2jATNzMi
DIc6/Gl+Yol6Y323rBANA2+kXCxFBi+3MqtsZLPodPjqILlOxhYSrxF+5vsuf9MKs8/CpQ4FaGn1
opJV9FGdmaafNUn8Hn6W/K2iDvqnx62gvMaz86LPs17L6ESGwVVt+KESMqIhxvhgpaLZuBxv+LlF
Ooo70DomqNMvd6zoK4iVBDSdWmpHezIYBvRB3uICy8PbxpNG+AGhpBz7JAK+NEUbNaa73Ca+W2ZQ
Zo8RDNbFtFWovfo4WDEYGKQXzpj4FS0kIb7Gg2ZHPpdSfRrtOTm4i5NuVLeutg0rMhCVrVQwXusx
q7DVBMRlc+QTeA2ZJLXpfow1DM9ZLNqHG8PSmJx8p1UGrmBddRnGtGXMCqBWHcTlj7yXVXZYkrc6
O9cFLpAR7Br9QHRSSablw/3qYS4Da3CRxYn9SVaFv9ROYqvwaMX1nHxVdDdEuUDpkvovVIptc4fU
2wQVudnp9bEurWk6mUsgFA/lTit+PyOiVf/n/ol4UXG+iC+p8hFecn/wztALWjkrMgnIKLQ4aw29
3THXk7H4pc92o8P8OQ1qs49qcxBfFo5U41WVMiefoOSL9Y9dMQ0jhJYWdEwbt/c12g+BV24CXBpY
vIwjLnetThAZgdko9oHOxtOh7+oMoq4yCOaPFAwd62OMmvOPBmox9VumJEP9n8q0UTAK0VqJ3wDp
TOABitTAOi8xceGzasOIvQE8v4r4+I38Mqb+qfwSAq0iPqV2+qg0ReyHiDeUxzgI1QEuywGO/QLo
BkLlRQ6VO4UKRLsgeJyGgx2NENpvfEBp5/ID4sASFEM1HcD9OhjSGPmom3xI/TItuwapFrx65+gB
4qto5kz2ZxV+0BGiNi1OIsTYCt3M/ihLUf9ZFyA11eP933MViZLrU83lOmDqHfzAalvSWEBl4ZSp
r5kzUlYR4mf7ZQnU92oczm875po3nOX6cqJ5K19eIgpa3+tCFaCP3qmg8/FdxQzfwzOf/cDTH65n
yBaxnNOWbWlkf1fHBDQk/ecoyymcohOhuTkKNHAaefc373p6nV60FGWVg7cU/day3mhwGnYH46VP
DEhVMbNi2KbqHjZDFGNiSGBP5mzDuWlmgWo+UwqrsieDg/ID0euleD/lmr6cSmeALTG0bYWRJC3q
URXt9KE+Jopq8Omh5sqN3aB3drMVK1yfCbq97BGADsq/ZNiX5xZ63sCCxiT3YyssXWiHQtgqwxyV
zH3gVMyaSHmf4ahoWVgfGSRCmkHVJ0PZcInrl4S8FWQRnR9KeTT4L3+GS+nZmIlr/R6Jt9PYtD9q
V1LsjWIrE7nh7YCZXnq11Lqp419a6sSwJGD8oZAcrPwL057RAbb+9EuqzRacojAb3neQG86OxLNp
kfUgNHgFW1/SvK6aJUx9CPujD90cmMsRRvsle/wUUxuSXXtGP5lLWq2L/nMSjglCCSY4kuMsLEhn
kySd30xJt/w+ZOlWVfL6k/GpTE4XkZNMn+XCX72TEBZDLGUspV/D/vVu0mflaGa0DArJBXl/D2+Z
ArULOJJzDMX0yklHzcVJl6T0eyuOjtbsoJexlCaDfkNSPBoKgkwAXUH1QZeM1utJmjpshhDq+1LK
NLS7GeqPY2cy2diRSG48BDeX9cqUPJuvdjBXlGU20TXy66Ww94U2wuA3arCXTcLc2MFrr5cKxkyE
UAADVqet7vhpIl0orab0odqu972ZnVMVlmKqENCfpugH3/9g104vzUGVIOU16YasnNGAlLyiOlRC
FJksz0kLwp8Mtd0IP6+xz/JbvTKzujX6hZhiQlGW2aAmOrSw3f3hTPNwWIyw3mU05fY6Edu4C61k
PsOZ1P0+5pmzsdZbX5E+CMkxVQZyiNVa5xQJLXqOOMwS9++zGRT8DKHWCUK26nh/W2+ZAsCnUngj
tDfWacoclQA1g1QmjckHBl4bX22AWQ+T43r3Ld3yF0CLGkK4zEiQrVy6Zi3IiimaZUjfWfWucoJ0
ny3tWRFA+kVQ/bxv7da6QFuTQdC+xuJqC92OJpJVQcKpDKZ2EPGsnkTR56du0KKNLbzlma9NrVwG
TS47sMpIvnc9V/8MDDU/DO2QWRv3yK0dBMZqgrflubHWpRNbbVwoncLcZ9Y3/Eyhofmrg57D05R2
elaTwdr4YldFDT6UCW2ChCXTXl3v4aIkISMf7GEFLe5BASb/ZKN296F1RfiLEG95r/cDyuBxZ24U
Um9uKR0JgBu4HzCrS1+Z9BgRUAWvbNzefqNPMYQj04ihf/HpJMsKY6Ngrum7X9pZCsWMTJhF/DlC
IsSwA3CoXTJv7KN0gMvgHIcHkSmzPyYr1se5qUoKsLmNFYLmg96a1ueZk/9RVZEwslIoX/PKgent
/gm4tYdAj4hSiYHoW6/Om27OJpPEVuarChDKhkbmsSGF/nzfyq1zRkOCRj85O8Hq6pxlqQEvQMra
CmTS/4Ate8r+iEKASh+otsfp4b61WycA6C6VLmS0wfmtnjdOgKjjyMn80dKyL7BSZKfURYYiCMr2
m5Ynmn/f3mp1tPvlOUNygzEUWVdfHW27iNSJmFXlaevMAzKL9j5sYnvfu6nx2Od6MUWhkhtY5k4k
GZeuCF/wIhYgRGd96ucDIsk51C+bXFMrp8AKzVhqN2RIrOmqKmVqUH5FoS7OA0wIUISrSFeAT974
TDetgBj4e7QSUO3lWuBLF+gLOeJsp0HvzTUYHR21ho0dexmKeHWuXhYjGZIovBKI6OuqxbwshhoM
kzjTmw0nL2s6I/5rynKteC4msh0flunS+MDYMpRjTWNWlTco8QA1uaNF4/tM9HWEgmPVOyfINXvk
nkzUG5Udw6cSUq/xsH9V5yJFWHFwLf6DoVjsQ9IyPrE3W4B7Gwu6tW3AuijjcZIoKazOUjJpQLuG
dj4jqDV91Xp3eNadAjaKR50adRdJV8ilLiPg1aUXEtNl3dzPZztQCk8QXB9U5Aehl62XjRfr+vxg
SkLRXSrUJCryz1+Fo3yWIC46VqQa5bjLq3H+LcordafXTfvh/qpubB5dBXxNzl9LfsJLU0ZF1Sdv
CcpEWyESOddwraCsveHZNxZEO4YHQ6PezppWl2qczSEv+zydu1IybTRN8Jm3KdqXc5d/ur+ga1NE
KJA0S6ZFOYi32jvTUNweKpL6zNWgvcsyof4O36L+DHpE2Yh6b5mS/IRyAu7lgrjcO3eOkUuZ9Obc
2vV8Msek3HeD2ftqtcUqtXoKObLy1pF9M3wcL1xdqIRKkZb0TQ0T3xSYyDnCcwyd9KDUCLMFZQ7P
uBqVHuXAZAsmcmORYAJURiOoS1AQWF1K4Hocs+fIn2sAPk8AvLpjq6i2l8dusL//6VbPlFylHCn8
G7HFv1bPVOgYCmPH6HqgvJyfWjtzT51aFPscwub90AvrsXAJexCjUCOVjKAqXEMrrwSrZI59aeRn
6lM56oSlcQyVB1/6v43wzV5GjnUaXZdOMqZ5btTFkp8L4BXf0ZazDzOF2yc2YwsTcP2p6DLJfiR7
91JEvDSlZH0sBkfJz1oHSUmE2tkua4LwUJTRVvB+y5Rs5PKR6N5xTV2aSvVmEmMw5ufeMn/pS6Od
whpFk7BCl+dRp6APRH39n2mL9UdyZ63M6NHV5xH48J853OjlOdGsfvaE2iYRgt8kphvX1bUjgiTj
mEmPhMptPTC8BDFQQdOszuES9Z+Z92gPSa7HXphU8e8FQ48b9m7sJukqDL+8K/zX6zHG0CyFWJQC
zVgX7d5drlUImxu1qNN9mYnqr4d3VLK6gUiXlLigBy+/3TCNRL1R0pyrTMl9SpJIETvq12BSnmAk
qrz71m6sDT4FeXuxMNmQv7RmxaNR6Utfnlsh6sKr+kJtjkaVNeFpDM1O3TAn/7rL4Ab0jQTiywa2
5HC4NOf0yEVXWTyeUX+ePjMhoO/Gqik2HpkbDsLoBekJKD3+vaYrGdGQTsIu6M+RLUlAqYURBFWm
3zGs9pT2efjwKy0BG4SgUsUOzLfc5FcBgQEoC3HxcDjHSYs0NknK2azCrSrOjb17maCCDhP2VxoC
l1bssSh1bWoHqF7RH4hyt31KLDc+3XeI67fM5XXmiiJ3xN/XI6yJ4cBcr6TDWQmW6atYqBIZKEsx
8UHjYYCM/a0y6+qjVz0+QRfWYhslC8B6jJGmW2LFJUsbG1X/FGt69KGp7e/3V3a1fxhBZx5iHmqW
YI9X70k4O8jLIFx1Dmdk3OcETbAijarD41agXybepedIlLh6JelSzK5CbH52UhSquhz+QsNdtiZx
ro6tPET0d6kBUThB2O7SF7potPvSUYczTOD2e7j1Cz+w6+T9WOTh49+GigURji0JFK6cO4nQ08jT
Zjwro9JqZwHbM1raczSPGxH8je9DvkOhnO9Pu2Fdeu0MZeTLF+OZY2Z8slE22OlKP315+PvQt5bD
D2ALiHlXp6h08zrqGlzNnMK529eoSjyBCaRQ/qAdbjfeRXaOBw5Y0Mrb4HcbOp6S6Rzj22iOqdOb
nAHnjfv0yg+wwi3H6BeMCJTPVquhyugOnd6gsTNn8X4Z2wh1QTc7Vl251e+/aYpDStDO9NcVWCYJ
9X6e1UycrbnRcuQCg4Eglw9EwBs1XX+8v3/ynFy8FAj+UluiTKYR3jIYdOnh04KgCoPa4twoaNiI
tld+H8be+IyaTeRFBCW/ARuaAHAGv5rAcJ/uW7+xWOILRhSRvMJZ1s9ihV7dZLu1OMeRajxbpe0+
h/CB7GM9rjcej6sLl4XSZOdwgacxmBa/XGhimUlvp604izla9nPRvwddRR8xHRGjyd8s+eas59VB
oxNFngc/M+8V9HyrRzjWy1wH9sTWNv1U7yxF/eHQ03yQW9NFIYOtI/ciUabpu36vxKwnCcdAnBVd
qu4NNie7FMNRrex249G6/lzgFXAWje4s/3JWMVNSuYDI+0w9i6IIfo3dNB4LVKX3etWLR5N/OpRk
lSRd7B5t4NXnYihnUXKnCc4Bk6v1LhaTeRRN3O4C2FUexGTKLZQZOa0hObFFze7SNxim5Pp3k4DE
XIn/skCBn3Wt7v37zn7tD7z3nGmwrjReaURdWmmyYDLyILXPaTwWx77S0t0S0AK7b+Xaz5kAAJDD
lCp8NCjAX1pxlNZi7jK1zgoU/l4KoBYBoTF1jgUwkqegZw6egsGy4Rk31kZ6bNAMItyUI3+XVosw
7FLaAfZZr3S0fSjh+oqB/N79tV0FnLwjdC6kAWqqfLZLK4OBNvzIZOxZr3VUg/Q6+i2hoIuykmK/
cZB6ffRNJsKgESnnG4D78Zxd2osoaBREBe2zDnHScwo5+L5AMu/b/VVdnSreRy4K4GQQMxIwrawg
yTjCPBlhBVn13zu0IXdu3oxvph5FufumLj8T50kOSrMOuv8Sn7+urYIgCsSoqr1XOWC1dq41gaiY
oOHZ4v+4XNPfhpjFYkKaMUj+b/WlxgKVUWMZB68BveMxz5zvx6GO38QlRdD7a7ptiizElsrmRLaX
H0kPkwhw0wyddadDRaO370vQ8R/hF97fN3Rr82T/EToTvBwFk0tDYcvcM5g/1tRRxR/dpNsxi70F
RpI1g//zIP+9c6QGdPqJBXmWV8uJKjoisJnBn9UZ4XM4GaanxHq7Z7rP2metG/xmlTDydqLfyOak
m60Mkw/zUOEeUkpi5YZ1GS+JhuCtF6qMHiNpGxEYdpXwhTU1hySpxSnohOqFvOQHKzPCh+qILwuX
ATA+A020nPe53N7a7eNkWbDfFUrBgGKKphoiWee8qJKn+19yhQ78xxbQA7BSABd5Oi9tVYrR6HFW
wUBcNMzABJrrK0Uz+Dos9QeoypZdry7z85S4ArLPwoYxKmdAx+nsnalO5anPYwTeltT+fP+H3XAx
SHMoMDLCSP9+XfuL0mbRxyFhD7pCPUIKAWfmUGyBcVeIzb+X/8LNQ2kH0Nv6U6tRaqVO0Y+egd75
uQhS8c4QkaShaINDOurpLgRdAsMkyBmlrZpj6GrJMbGb7uP99V5e6P/8EEnQQuURhvB1FjylSteG
ueQFh+J0l7mO8lxnqXpQGGf0BqCiG0f4xl1BtMSIl5xXYxB39d3DBhJa5I8nz4qZh3VDGnG9Wla0
5Iotur1rUxLdSfBHCZ6pq3VM0S6LqkyqztKQG3+vZ6n7JS+z9Ji4WrtFQ37bFk05yYZAq13++avC
iKmWcxJNMLAkRk2u1So2erlpXL0JkW3+cv+TrYSC5DdjYbQYCctkJX7dKxm7XqhhFsE43S4BAMOh
Cft3s2jV0Ysiu9O/zaljfRAI1yMzPTrp3kRkot6HNJIrGM9DjZRJS0vilIdSwb9/mAwMVNRLeK2N
1c0J94VVgTsevcDM0t+cLBuOkeuOD+md/WOF0RqJzMdv11YyI0fA0sXKUqDgqFswTlXC7TYeteuL
wEYrxKZxTNZJArG6jFM7HCTCbIIJ2P2rMPps7xpTshENqNfHjzeT9jusEwCxUFC49JuGN6WCFHL2
3DHpKySdgqjeG1W5dLtJbyFstKvWmnYlgOnqaAiJ9MkQLW4g3tDq9lmdZw3pZhGlxgdi0Xpm5FqJ
m6cWKIvYzerQbtWWbji6Du8KOirMGlHBWoWZAyS4KAbok5dPDgOnlsYQ/fg9ifVx46K4sf8ELbDG
g8wkBFz3K/RRVJnhBBOhS6nsqrxN93kwbVm5sf+E6ZS8mV5EJWMNUh/VerLatJmhreCcNEt5tkX+
DAvosgPAv0GaJ8OTy/cdP6KSL2eZGMdfUyqE+URAXlmzB8UBCte9g3pW6+jL0TTn5DnVzNBL2yH+
fv+6WCkkyPMi8bwIWcg+LlnJ6lkfEoYXerr4Xt2VwV9BZHatzwjNkOxKt1bd7zw+49dYCTP7uYzH
Ptwl9pCiGN6qMUSNVmj8VFxtNvZ9Nhcz+qqZHrxLGttJjkIx2u6oMpkZ7lQ16pVfTq8tb2gwZV+7
pU67s1EmYXPKzWIMjrXInWctV+DPrBpFL/040KyvSxIo7W4aR8S78qpaWtr7iL964JrM6qT1s1V8
ygMU6889gmehetSnNP+FwPEY+EGuVxWnw4znZuNkXrufI8fpqKxLxMUVdUKiLYMVLKruCXspTtGS
13uS4eXhS4ZEAPASWHGSXvhgLo9/ZKTJZGv/zdl5LcltJGv4iRABb26B7sEYcugpijcIUgbeo+Ce
/nxFnjhnGoNoRGt3pb1gSNVlkJWV+ZvFudNKNX+ux0F7rNXGPHgavk5oSZohAuN+BI4JFtDlKEPb
aQXENueuVpryPU5qyt2kxMtzki/JqevG5M8ozXFlGMcjfvrOyBKYBYCJuiqX8KZqV2f4r7mj7d6Z
2nhvz2bqL43x0+qjB8ynn+fIRlk9urEiiboOBHLaITht4SH5GjqlVa4+V3Zn3WHxoZ/WaV7u0lZT
Dy67bSRkFFAYvO+RRgPzvC3lx4SumD6ndaehLOArKEf/HETp0ZC2kptewb8mhI2ijXDwr79tsfBL
09XZSP0FM/kGlexiHr8tmbt+vx4otrGQCVHsocROCmN4VHMvj0ksoJLgT2jdZX1n2djDrN1nHJRz
rAj72fvhWo16RHneWUMJcIOYSK2EotYmNE2F42EPWdgkDOvki7TL7ibCzBmAy236nr/WUFJ9QN5T
2AUNtvnURrvqNGdhKGSIhZ+t+hhkqhv7SbbeBnP736GkfSnGC+AItjm1Fa+gd9bBvkukU7SLZvV3
9Hxbf7Dn6P201s7BVbmzcfTAiSA2f6MqI//8RfK5VtjGaxILkZtTHMStSb1Jyxe8T7r+hOu09h/G
I/GiKU1aTRFyMx6odK2I0B64a7PUecMoFXYkaxPajljOpaZUn68fzJ1TwnMc4iKSs2S7W46sCbaZ
2MZ4vFurP+q2EA8Igi1/dm5zpAP26l3KR+BQPOPN8Auqu5Vq0KYuHWGqRXcQ57pvjWiiuvILR5TD
NyhKhftxMN3O8l0gi/p9ovUYbqLf500PFjyZp5orYwwatUjUEwa5JuScVO3qg3i+vZuog/FC5QzR
GJOKBZt4blI4alpTce5Say1OplgGrKf7f64v+t4gtKdggZEg8YzaZKZoJNAii3tCd+aNJ8TKFKgP
w1GtRf5bXqZEciqy1oJVlCyYbkdZ4qbIytHw7opl6h+wlkGiPhHqeUYo+v1SR/GDuaK85wg9/uSM
6IndOknuRGpTtCO4hhFCuPxyME5vxkJkcZhNvEHz2NDukPr7eX2QnTPF6ZQ3L80P4s/2/m3Wwq1r
b47DVFlkroMTW+wXdDvTUydW74cWddCZx2nwtI/wZ1QpQQ9/dDlh0QDjJK5dnJqGKfOGN3Ori38c
YeD7fv1Hvt5u+mrERZ4jcBZeCTorKcLVwpT6ujMKFEZWWqHoyubGpxtnBmtLmZDyf+Qkm3jfRmZt
pGuRhMmQtoHaFwml8KS+eVcZhS4hGYd0B9u2fWjgL86Cv1VouChh23OGFCx1w/+wYhTJpKMavQne
5Jdnp5yKpYEEn4QlBXH+1rrBbAxH5KNX+0KtRCNHtMkwiEvblsU4exHCTh2jaF567sH/BihLlLfO
hX+zlIGnJAO1/pX8KkzTpMkyJQmVwo4eXeEp39thqX9cP2O/AtPF1/5rGGnpKy98OoGXS7Yqhj2L
PspCdSztf1dvttYvupM0lk/CEb9vI6/oHtG2W9U3WWO6/6hL3tsTmYiD/EgxpFD9hxkk5c+xbl39
Lva0/FOTmXYZjKUzvo3jeR0ejaSaMn+1VisJRzDYabA0WYzgmlGlmq+qsfjQuyK+TbWfS5+5IaMC
zNyFTwwA+HJusjJpRzyZmFur+ZVp1k95la2PSp3rt2aeDEXLHb0GDUYrMLvLodQ80xobcW+EYuyU
p/HQ+CltFD/z0vzgYGyfrMyKSrAEEFBa5w7eXDVV5tjT1HtpOLaQbxLeedZo/SQcf1wq+70wrINY
+eqqp3Mma6/wA/iCuWMup6a0CaBVEy0EK4NltE7D+rYvIteXbdu766dx58si4ZTAH3JPstDNUJmH
TG2Wt1nY5HoRelhun6zcqD78h1EgpOmkE/IRtEmqO9PkRawPWahouRkYFSq8jtZHtz4QWDbggVTE
KJkguS2X9UUGaMzDMioZ5amU1995mrQpyGDvHpy77WuOwyBbE2Rikk3KIb8cxZqttk1TLQtHhzDU
mpX51BWl1vueqfQQqq1+/GfRLNjMVdkdVDH2dotxpdi1/MS2Nc+6nGJkGxmb10978iZ9OSl1ax90
QHZHoQEiCzT0srZUz7qd6lZVnAwefmKd6mQEarL27cFHtTsKXQZqW2Qd1NEu17EojHgdSwjieQmp
2lmxcVBX1bv1FiSLpY0EEYRiMUnWJoHLOzGMWlJA4l+V5N4rBS/wvvhy/XjLiL2J6ARysGaglrF1
2g4ypaaxjGtbhEMrolO7Uo0ZDIy5fFBB6Z3TdEfer68DBFUZfOhtggTP7i0tyinHCEIIxSMrGcZ3
q1iME0Zq7d92XhyEoldTIwmiYAKIjlYjTDq5iy++qSm2zUnt9DzUZqVXn8xJaJlfxcls35s6/eI3
czXCM7lxPRmUBgL5ES0ZbAg2t0gs1AaJAoKS28bzaVGnKXSxsfzQDoPF0rILf10f8NV6ygEpQgEl
gW3Pk/VylgbeR1GUiCwsZr3xzlHigDyqE8cNBzRYj6BVe2sqvSjA4tCXpl98ORqJbJw66sJoTbL4
ujYOX3C+dX8Soo23kWK35en69HYHlJ1igi+57bZXMNiwV2KTsFF2c/tWiTTtgwIM/UfT8SjX4rI8
SHD3xoMWwSucpoFD+fpyggMV5HwFDxRWy5K1gT0ro3Eahji7Lycn+jC3U/FwfYavN5DSEG8LMlE+
COZ5OWIcFQUiSxGqadVKVziinZjj/fhOWQ5tI15PjqHQt7Rhw1Mq3zbG+xgaVzEbVeiwUQ8Uxpqv
lpPStsjHOKrutaVpbi3DQotA9g9GkMRtw/rYzo7KU2qWA6BPscTUTrwvwOX6g03bWUJJVsCCkeuT
eck/f/Gl526nzyl9pHDWeFD7ShOl70cuu8+wxtd/r2/Xq9jPhMDowD8iaCICsYkqkIJaCOFlHdLY
MQOUgXX71LWecmS2p7/K3ORAEqYNTpvTuF05U0lGndPXIMhbZJ8mO+37IFrddL4nHXbeTMvk5X7t
pm3/WLlpHz8T6uIvjZO6C+CXtn0n7NwQP0c7oz4bFbFl+KYKlcmvUfiK3jVZBU+rSLr5K6gcBPjT
aY7XRyh5q/G4gOy2/TQeO+ssWk37XrtCJBWWydbsIVBnTvWtlXR5UHj0oYBETkcnZ7OHXrWuS9G7
EMZnumZjHmlvmyxdv1zfvVcZ0GYU+YW8OClAndAMzI2S3fOyE1mQG9Sl0O/GsszPbjYUrGvSfK7a
Q909GTguLlo5MjvJ1QAQljLC5cgNUIoeKzA+hEpJ742hnc+RLtpAmxv7o9try32rxelnN9Z5B42I
ifjXZ747PoQ5EkDIu6+UZhsznpRWK6qw6hM8/LBW+Z4o+RyUjVI8N72eBFZuog2kjN7XlGv/AIz4
+rORlSJeVVzIUEW3hQMBgsReq5xPNMrdB9sY13ciJ824PskNJZVHHL0D6bqJHJ8hke2b/e29ggZc
QXbhOtLLW0VF1fLTdOmNBxqtzeLbua6MfyXCUGJfrZ21fOBV2mqPDU4bql9rkwvDVLETpHusXMmC
3NTnMmjQa3L83nHmRtKh1DSYCjNL/d6rFvvBUkSVPQkj7+yD4yoP/eWhkbcs9zrRjXf9tofKCrlV
CcqGSvBY+0tROCg2is9YZ6zn6yv3+mqQxW4Zzwg4OlLjl8ezy6cOKQeglKO5Whoqoovypq7MKmyb
qPEN9GDWg73amxuEa6oI1NhBT28CqZZP7jpHBNKljovzmqWfvU5BrkhPjvAWO2ePEo/0LgdKQhVm
81CcoUwJHm91GGdtfR4nU71Tm/HIl+Z1aKGIRG4EAAx7WTrrlyuor427isRowsGL/uSmHwNz1M7E
UTXogUgFeq28X1rzIHvY2Td51PGpgURHJXkzat7HDZqWc4P85JIiWKUvQdeOdWCuZXweV6P5ev2c
7KzlxXibMFauSwJ4eGrC3OnVh9UYNX/kXXuQRe+cDcxbyYmgI5BEb0+jcEmAsmlpwqptvfSEbQEK
XEOtGicny5zw+pR2lpAOLkEJCTfIWFvjpzpBcx4LgSbEcAfU2jz9iwnT17Sq/lmH6Of1sXaWj+BP
84pQCN1vmz9joahEeUWWhYNzF8S1Up9K0zvKHV6PAlGO2oiEwbmc7s37tIKI72bg88PCc3q/n8tB
8dFArG+FC7FeZIwI30nYFNmK/CRe3KZjVuau0zDOqPea39qrdm/HhXG6vmavDwMVkV/AXuQZ+Ibl
n78YpU8Q2HardUDne9HjIJq5Ns+jpWNYYq+le0QGeH0caPzK6hVnj3bVFlEyiC4TvTmLEKHAqvTd
zu2re3KGIn2Omjav3ze91t3GuJX3lmzu0wJjnmh9bfsYiupgI6ipC1Viuzq5XaogzmNo1L7F0R35
ejkltksjoaQdTQFSJgovlpP+WaO2mqKG0YB0ZBKl6akp3f5hgJB1ky8IsyKZo+JNn4nuDGSczTnM
OezVTFUcdcZ2Pg1x295JzOTBRbLRjJLDQCrCOA5KBckyMmiXM+q0SOSr266hMVXdH5pNgA+1Kk77
IMmn2DyLyuy+LZGpD2kQZd20vKm1usflOAe/Gh/8mlffHsUGOlGgT6E7kSZvltcs20kxRIwRkVir
IBocNZxc46hD/Yv8dZEZgI+Qbx3OqNSg22pvoNBa2yrwrXAsrXw994MTd8+ZuabViR4VBsypnRSD
L6ZsVp7Ag3oo38aNlr/pKbqtvPhmTWhf1LTDGy5cF6cd4YYMi/LHIFTo8i5FW/NThb3aem7XdPKe
kqaGIFO04Oubtu5nHgN1PKyn3NFb/buXrs7XDrQojpudQK5Y6uOXyxMF9OrZKqtq+Fq6GQTh0Z6a
xm8qu3fOTdO02n2rgmR8Emqm5edxbGzxXHoNyPq2HrM4aC0zR/2rTfTm77rsh69G0Zu9P8ZW0oVt
1muj77YKjPGm0cAEBB6NwMclXYb+FFO+q2AmmY177zpLVHxY42SwSfOjxT5HWhcNXwQasM6Jl1Q6
ve1BHniYENv4bq2WM3Tnqioy7zQ7k7JSypmX6X40dUSscObSvxjeuqp8NUNifW81R/m3qYF0fyvV
Ji5/REZUqG8Kt8tQ/YlEFf19PSa+PmWS20Y2T6IBLmyLvp4bbe4RsbXD3uubkz1oMar9U3N/fZTL
lAYTNXBNfMHEJnrVjLO57DX0EpQuziiui0ItP7XlUjd/KJmXISladCvUOlo95kM/rlXyY2iy5qia
djnN//0BJMCScyap+5sAgh4hsWwRRViDMnlUs755hrZ/pDK0N4pU3iAVA50AkPoyfsS5kpsA58tQ
mM0Pc11QwTAO6Rz7gwBrwmsVsNg27Bo5p8uqdd63TQ7jwYhc/ZHHYnTUO70M77+XjJ4/8AJadHhZ
be7k2kDhOMHbNMzpzgYzV+ZTnuqe36dtfpB77k5JQqh4oNAR3hbb0ZhVnKSfyjB2DFzdsrpGLaKN
4zo+OIe7A3Ej03rnrfCqxjkvFT2lDJErgld0VuIqfltDj/5w/bTvjSLRU9Qq4ce/YjQAVy4W/B4R
PcPNKhiSrLmrDOfISmR3FHoHWCHLN8kWlgxNqq8M6jBhOpbJsxVjVYszHj26g3voMo35fQ4Q/tF4
G5CZ0eC+PNQtTtJapqg84EqjP5Wq2Y6n1DSbJIipOCQ+ygPKUdq+Nzcqw+CYfsGYtoL/Zt+6U94g
3tgruhrMIp3OeZqbd7fvE/VZqZcINouy8OXMZisljUdFlkYtUsuKTklrqrQj+4cNw+P3AtISkWUb
7M55HV8Osxp5DZaWymXniDeLUy6BYnr40U2f9Hj4DOviSYzmY21Y9+uyAD02Mu9gC3eXkx4JJx+8
ENzAy1+Q9XNvlFygoWGUA485ZD6HRDkK8nsBA6kwUjV4h+AGN+l1ubpC9QoKQwUTvgMw1T83LYY6
tZ0dgbP2JsSnxbMHaU1UbTeB1tLnDP3ergKt09i+6GzHn5P4ZjcNicYlPZI9W5dPefPc74AcZyiO
cfL73LWCxIjS4bmOFxE9KYtV/XP7aQQbBEcZDCk31SbfW3KIolVaoYuKPKLfjGn3hmrREW1zd5P+
f5Qt+JFyHq8OaAVha9bj3arp87mw5jSwIbUfvL3lnfr/meXvc0/dmRospGELUOLlqTPKCu1ts6hD
fXS05zJtBwDa9Jj8vqGPXyNj/4nP4sgrZG9U0lnZOENRjgbF5ajFYuRrmitV2BgapdhhHrL+cz0W
61feeN73BU2pzp+FqrX/IeqTRVO7kQ8JkozLgRkmV9g09i8rRJDiUjT6guzvtrfy72XlEQT3Qjb4
gWRcjuMl+TqQSdZh16bLqcjj/oyXtTjYvN2oRbighM6XjIDn5mvG4DNXHGOEO5yV2nsBSvsMyL4N
Wq+3PytlvARzOqkPRaNMf5oJUsH1Oi7hAPjl4JfsbuiLH7I9RonaYmGKlnS5jN/ieCp9xVM+5kr3
x5BPEGXS+evtHyK61UhIwfrjP5uZEwzGjANUh2bTJqepV0ff6tsjY9K9ECapW+SJYPHJfS63MUqT
1gary+VjOjN25PmfPJfS8PpU9r72l4NszqSNt6GdVTE9cj2NzpO59IGGiul952jtTcCT38dS1nyl
rD4Cm1tEF7a5aWprBBbDVujNuX3uG3qU/XN9Qr+WZRtUXg4jT8uLokNstlGjFbK8LKYf2moHQPw/
eWr63VH7c6vEb4ZevEvmwY/04bkwplOl/FvbR7K2u+sqkyGJj+RW3RwRW1l0JCRq8pNlip6AxdYP
2pg3j2IcjiTh5PHeTpjHvyRtILMET/xywqqoLQDdKmwvY/hXNUbFz9TxQavmr1mbHGE/dwcDAYAD
Df0PEKqXg2k2BNukS6pwddo+8z0IV+3DpEB8CcYs1cf7LCcvO0jK9xaT/JI+KLwGMCqbh4bTje7Q
NYuUXV7XwHFnPejLJT7Hk3ob5/73IZW3OeAhVeKWN7EzGQq9MUccDcq56THtXmvRBZZTTcnd9XO6
OycH3hAlFfrk2zktNiXgwspklyodPvTmZMBkqOtgMZbuID7uBRLpJkgJlbIft8LlnkWtoyfYDlfh
QOnGN6pYuaN3bR203fYmxN2mAboiZHGpX47SJd4wznpfhflIwjzOcxKko+jOfanc1s/5vUnI+QOV
g6ZBnXazSRkSnEW9NhWgxrYy/Ris8BzEY4sRij6bGFFc36qd9WPRKF/+QgmzkJczU/M2SQxXVKGZ
R8T8hcaHO5nrwRN3Z/14EUqkPAeCx6H88l7ELW1aJ8fFDQurBwTMfEsAM3/oBfJmgdrN+dGHLH/0
JmqguQgpgLKeZJRtosY8JlaZrmMWrnlcKG/RwpcElzjvmsBuI6N4rhvPLu7b3LG7ezC/bn/7zYOE
JZ8YXQri5LbxEltiSTId+ItaLuL90C3zQ6o4LjQ+Vft68wbyEPhVqaCBAGj9cmkrUFm6gqdz2Fpa
mTy0lVX/QexIjkxdd7YQiyn63pSwIApsK6WT1ZeGk2sg3BZ8qR2E70O3s40gi+MjReSdM8lQvH4l
x4UC8GZKhQYVKi3MIpx1ixmNc3kPbeBmK1xZ7qanhugoL+1XgKFSt2tz7hglKxqA07lhBbg73kaf
/vU5MwoZq0UFkC705nM2xdxJ6xNGwfXwLyzXSwACkfPv9UOwtzmIf3KB0J7lrb058JmwhTooiKRH
pZd9wpjGNSBWdOKhUJb4INOXq7/5uEjayA0Zh5r5FoG6kM+JaUqLcLT65k1Sdbxxa3byrvXG6Dxo
PA0Nw6tuUxb4tZC2tCyXNEPJkdss5ORIl600x3ehyKagz5osqGhUBHCwp9P11dx0Qv53LEaSxUzp
G7AJV61RVf2YRQWPDO2noiW4PjX2j7HqvrlT6fgrFhrPWmAeXDI7x57yLOABVpXgv1UdBRGVZmKZ
Kc9Vo3O32ooUFuqcg0xV/vZX20fCAZjdw+ZnWwv2EkGteuyKMEVWHLwttK7JWx/SiQKagSjU7cUX
fM/gf1Be59Rsi8KOcEYahKBH1cSt3zulbaYBorHefL6+Z3uLx5n85WsF+29byZ8wJgMvX2NOoMTC
x+OvfsCXaTiI60ejbKoUimrOtEMANalNbdxDfsufDDufbur3/T5+slZGEiBlitVN/CuTHpq/VRFq
G97SeQ+tNrVEf3DKd2KGjOT/N8rm5h/tmZ+uFcQMMMoBapx2kM1Tedbj9UZTABoghApqILRaQBdS
ub+8o8alSmVn1gizeqZyH7fO18qY3b9uPQI8jchupZApLKEtAKEZhwShz14P45IjkK1Gf06z9CgO
7QQHSEh4VwMrpzVAKeJyMlUnoAIrKd1Y1fQrZXlvF/A+h26A4gieQ8/eOmZ+39tliMbVQbb2+uNF
BoJ+Jc1K8NhANC/HVuKkxrlUMcICDwdxl+Os8NUoldQMsEGrHqMyj4+0l18feWDmUHrAJ+AvQnnn
ckjdFDy/YoaEDTXcg++bz+WaDAcJ4q978DIsSXAChwSGJR2y7Zl3vSwWnp62oddmmDN6MisLilj0
eZigy5OcgKwVXTiDdcnCIROiOxm5iDqEXYwiQ1M4VhZfTeZieKwLZKPuk7HOVd8c9Ly7N0Ejxmf8
eXvPT5187J6yVG1/pPVS/zsC1y1PsTLzz5cYMfQ++W+3BElXJQmil5ohBTf0or/zqqzLz31t5H81
Fo6bB+hb7fXFCiUb6VCYmNJbaFsxFKRugN9kqYduXRbQma7jB6W1BvyggU7Hpxxfxilo1yl9NxhN
PQTTtK6foxwk34m0IMaUUZuK7JQZVT6c+lYIsKpmEWtP0Vg7aaCXxnAkRfY6isgfjUEL2YAKnFce
nxeZvalAZIwjj4oqYNenPplSvxrH5E7VxBEH6/VJZCiOBxkAabW6Lf1ZA/6h1QAo0THa5lSIVQTd
WHYH9+P+KJLPaAFf0baNv6KelGbulDq0i6EJwX4Mz0nUHIkm7I4CE4pnHuwK7q3LZfNGQMlm6tZh
EZfemwXxxDuMgqIDoZXdzZFC39BuyWS2czEy9IC6lbmguLgEdV0lAT3m1S+p8Z2uB9/dw4tZOwGe
5w7th8sJFW5btWIF/ZUORfcWNxPtUw8C6Bxb0xICLTGCNO2PSGWv33mcCOoYdK+4V7AauRy0KVvQ
qA64znGa9U82l/N939fxM7xiz49Vpb8TNT1Iz1Gs++vT3SkQ82SWIRjIIJIy20J7CyJMifCLD3WI
B8193td5HND+ppYyDW3/zbQi688y4Yu5n0YVxMxSRJl9nle1dYKeFoR9kAC9vhokkgVdCu2XZt02
Px5MJ5kBwdah1s2F7pdehM2sVg1fKJQVd1NTzN+vL8HRgJs3B3zlSM8qDpfq5B/EWFnv4mgaP6pW
vjzH0ZFS3O5o4HddCbuGgCmP+os40+iR1XWC6SV5NXwEnyo+mGplfx5VcY6KSRzs7973ie0P51l2
smmzXQ6nrWZSVQlhzR3r6I8ep7JgytPxIGPZ+z5JikzJ4kKaZqt6pWaL4UYqYUajS3hOEaH7lM9G
/3aZlfjb7bsF0Ugl4YMUwIP0ckJR2phYGroM1TXT317nVvdKono+C+6G7hyXBwzCvalJjVQ0NyG4
83lejuchU7q0cVuHTWkXb5vI0YOqqI2zpmbWQe6wdzQktobiKUkZYJ7LoZQ0GhXLpfae0NUQWBxC
qA5F6Xiz33ijEz+qteJlB7f13gGhHk26Ig1T3W1Km6A7Bv2c9l5poJHvd6XTNU+Tqi5Hoh97syPJ
IKQaIP7RMN/MrlymBQB7E4ICLIPcjuPPVqIWJwUi+1kBT34wsd3xaMDaBFTSaGezcQhfttGo86F1
1FLRetLpemGxAcAWJ8DHZRmX28hw8rnDbc65dCkUSwWyzdFMlnVevEoeTTyW/Kj1Fh+Dkb+EvXwR
2HPfnEKzWVIyEFk7KVqwqSNAf4MLP/VtOK4okwRON1un0Vucvy0ld7/MkBbeX//yXn8JDCgblqBU
IARsvzyEUxpWMutCo1fMs9mr/ce+mbpTMsVHCP3Xe0e5kVQdzCRtZ9SCL8+KbfQmIdlqwgZ01Keo
mIccXSnVrH2dG/HBybPuCOb7+juAiAO2DZ4f3RmQvpdDth2yJGnL5tlKnp6t2cxP67waB1WEvTWk
rkWtDttZioKbUcjkVSfJgOfHeE2NoYKU1Y+yVdz1FBlGdrBhe1PCsQrog7QdpI1+OaXKKotxpPsZ
JlXkBFFSz6fOy2/Tsvp96l+OsvnOHDsZuwzqdmgMQ3KqzNQ4ZXN+RFd6nZYBKINoKinrkhi5+bZm
kKxghmdOu9FmD/mia38ILYUaD0flw6KAwAb0E80HMWR3BeE3/CLegYfZxKxkArSvFFUbxnXdtr42
WrYIrBiX+dPt3xYqvf830Cb010Zs5OZQtmE5RMVj3VvKWaT1+NUDuX9wBF/nmqwkLwIyLDTBIC1e
ngpH5KDcR7sJrUVLynOdQ/ubtd48VZpCb8Z0hXsnCjMPnbE80jTf3UW4yTz++R9Fjsux7REzT9Sl
27BKrYfSUP+J4XqjnzOELUphaTz9uL6su/v3YrzNFyCE461py3h21IgTBjGLn+tRchCJd0ehrgCb
CIw3NZXLWY1VzX8dNm9EOSugjixA8KE8dH0ue6EDFAMbBlaKzq78FS8SRydddaNoTDgwlYjv6RYS
qmJt/NRRfft0fai9Cb0cahOlBFqOS2lzRDAcyqzAALkhgrI1o8//YRyEg8iGybBAp15OSbM6BxyT
aMOCh/mfACxzGyZilBwJB+9dJ6QekkkqW9Nb7yacPqCmmIQotW6XvxSxFNTuCnixqt06odItxlG4
2tssKaGAxhm5PkSiy5nFkA6KUedIuFgQ3xtVZ90Dj5+f9F63Pl5fxJ3JSS0XlhCeChFkkwc4aWRg
1zx3YW02kBs1dezfNGhtZyf6zMNfbR0Nt/daaZxJvQbXlDZtW1ynUNOCHhG4vbKc7R/VMqMxisde
lRyEqp0SJekUiD2ZM/IU2j7GHRVrDNOcq1DJhfdRa+z03MFwfjLVNnoD1sD9mvdtdmfOthsCu/O+
WouSOge/YmcvKQXwNqbCwTtq+7iJDWMB3wrs0gb97yOKWt8tI8ZFvhI5882vDSb8/2NtqYlVZGdO
nWqs7GQoweLlNnnkUAdrZx0xPHen9atzIlHHr/wsUa7pnTzp4VsW1EM7a+gf9DiNvkjlqINZ7cQT
bNNkG5v4SEq+CZBGvYpizZY6FKneksJF9ce58ZKbuw14jbwYZXO5pMJanLQUVPBEZt/PTj1/q5TR
PfjcdufCWaQVBGof1fPLL3tendwwc+ZiOSNCmm5knIXTHMkY7518KNCAaTj0DtXITWg0S7am0Tl0
5ig+L5bSfdBp7tJ7SHxhT49tN91NqKH7mq0Eq9ENN5cNqOcZYJVI80Gmby+bri87KDOcQ6UYcYhJ
m8k7mYVojpRzdoIXGR1kC/mmQHRmEyenAflktwfZBv4rCT13bc9Fr7o+yHHjIeqK2w3GETPnCSNp
5yaP7O14I0VmiLMVuG0t/yHNCD7Cmjryz9g5IxejbDZPheXVdXZUhckYNWcxNWMwlN2/1+P+3iDo
5UDco7JDn3XzUYliVqw6dqpQbyP9TaWO9pnDUNxcRQZoBapGckch3Wwb8m2Jd0JREeo1kChPYzEk
bywx2wcJx05OCtScLeHxRTF5a00UraudUlAEWw9R4meeZeM3TS+87yMcwe6jUxtKh5NC7j6R2U5e
eH0h984gnlJAvOhY8OrcnInIHB0sdiGeF57xVK1RDL1/ftZ18Q1SYHEw2N6uwcNCcIWRkDLeBCnH
qjKgeaBS0zJvnko0iR6rXsuOlL12gjvVaynNiNg9oPdNkg9zamySMaOIWiXL96lTzKBVi/yUqKl3
+xuJshFbBz6ODtsWeOV5o8ADjMNer3H5HfqP9lBadnO+vkl7E4LPTjZF34TqyiaTV0qrKLMCqRpt
0JU30dRZpwmd0edSuPHt6TwpqbRPk3J8gFEuI3zbaJQRDYYy27pEiLVcTyt034OsQpYwLvuEVNuo
/8Lbk8Adc1PiSBBirpLIqyCZudNp9tJgNBwf8aR3ttP9w6s68+n+Gr63FLdDGeTQsOhJrWTtaLOW
Hq7PWtKwY03fd0Gnjfp3RcRHftl7J/3lKJtljBEpW4uOCRYzVkx+m5rpk5mV8UH1fncdSQ/RnpLh
ydrcx1W7AAxocoqmVTMBL1CXzp+KJr5LEzG/RzUnebbp2DwW3kjeaNrCPTiZO7FLlvOprkv901dC
NYMttCVJIHDNeeq9rWMtO4+qon5Yusl+W6WQR12ndkL+Ye+IW7zzUYBJobCNr670qd+k/knqFEmP
/D4SE073rEMa+1Zqs/W9Tu0bndZkbZPoKFWppXMXq335UXSK1bY4UYAZRdbpnAq9flZxS/5y/Svf
OTMXo2zCVh/niaHlgGBX9LzwLWxj6972mi6++w/jEHyJV1C6QHFdzgZfpLHPW2ZTTtbgG5A+Oh/t
/OWo1rK3QbQswV+xRYC9Nl9a06i1O9PoCcVQn5GXNc/ulP0BX/p21BBtXhIbiRgCNrJ14dH0VeMw
MFCaVHCz+/ZdhJLUQYK9NxvkUvDRggkk4dCXq+aSBqRihbJqqHxKQyPe2audnEqRLX9f3x95mjbB
0SY/4y+KwDz+NvtTj8uo173GSO0YRAK2UWCg9nHOxTCIoNDcSnpINfPD9WH3jh+1WYljlKqv2xow
xq6CWJKWYYaLm+9qTX4y9dK9/X5BxBFNOdo85LzbN16xenmpOKDXrazMgtbQp7vUOcwA9uZCOQo8
LTIS1Ew3R68QYFOMdihDN3Yi32lF/X4y4vygwLYTfSmnYGuL3qoUZtlEoMEu8OsY5CheMb5RlkG1
zhbk4G9xLuogTlr3i2LFGBYlsYJ2RpsdSdfvnEkK2zoakvRAqEbIP39RFVO6VdqUAGhHLiw+lwIO
XG6M89PSHupK7KzoxVCbPLG2vMzIEgigcP8cNDmcHwY3+EFasD8IGCWd60zG28v5iBIH84FuEeIm
RQuWvf8xqrF9f/M5J0hQlgKphEbRNgFotF6X8qu8utQEoNLEbaGR5Z+vj7K3NZiQYS5J00heU5dT
MUqjdOOM9eqLuKqRkBrQcbOK4U3aKdOX62PtLdtv3jkfFaS9zWMoNVqznzSey8PQ0lf0JL1MjZtP
/2EUmuh4g0hNlm0zvVWWrgGMwWGbMtfxNROd1HxR15/Xh9n5qAD+8foGAgh5Z0uLVQdzRupuJNfN
huU9Cku2aH0UuSCsmrXd9X6pJmI5eaJv23OeJOJpFNGUzrfHKYljo+uBEhjI8k0EafpmTeoJIcp1
jn8uWao9u1paHrwv9+ZKx5QwCGMTtNzmTil7FXyjwcXlCSPxcdN0g9gZv1rW8CHRjTdGNr4dB33w
c209QCnvHU9uMj405gfqZpNrTJCoR60s+ZwbyznxHFPP8VCDAW/z4uBL2J3kL8A3PRdw0ZtJQvBf
G82GjxVZw99tMZ/q3unuHC/6tjorXpTzO0MYf5bmkZjvTmr6qydBw0C+4rdCOIOI4jbPIZ1FVd+W
aKfE659Gq/ef3E7pnE/JoGb2Hf6h2BFSTFjWg8thd4W5RqVJliz+baaNGAguBDhvhrBLbB/opTLi
DoCHnAUC5UhDfecVz8KC8JS9LZKTTbT5H87Oa1dyI+nWT0SA3tyyfO12atnWTaIlzdB7z6c/X24N
cJpkoYj6MQLmQtCOymRmZJi1VkRmkVSOQSysRap1tFVm38A56g0/MEntncSy9qrTj3yOvB6ycECq
vYZrSAGhOR2khGEh5RomxeqPmVCN1n/uDh7aIVlziL950NfbCAWtQ8IHJcxe8xidZffzgUkTe7NC
H1uByf0+NoCa49Jbm11psBzAvgwtnQ+KVTLqMB61nZvwyIq8cwTDvNdEqysrcxMWesuRKBQ1OaZR
GVxcM3G+Pt+xRwfvRyvyV/wQFCR2Q5u9R9XTa7z4n6JEfMLzguDPVAzq6/Uc1BjlSHKHWIvZKktT
VqZ0JXVcPk7XeMehKoPjDGD39XwF5DnX+H0W9IbFrQo3LXKLbaOjm/xjl5nw7cI1/vN82x5dIToZ
MP35h2rc6uNQ9QgZzIC7ADjzJwTLr4wb9A5prfR+PO4hIR6E+CyJUpglg6qNageMANVN0bO4TH3z
KXRL8VHJ7OknHkT7Z5gCgDyM14ZTvSMViLuZiUEPVSLHVkc8G0pHsZk8caGjVR2QEbL8MtTmg0Qc
79zZR6ujIgEazpOrXHc8Qi3pq0DReVyirvs50uo8RezbCk6NmMXvLZqlJ9REXr5dHEGIRR6pBZbh
+ywP4xz3DBt2kKdz3Kb8bCSZc0AOvH71DmOFrBluJ/VLiZFdWqGkVKtTZ2bXzjXG9JNeMtThC7My
0mInANlcYwxReOBakcHAB1sFdUoPBryJ0vQKia6Gp2qGfht5hR8nzd7rsfFLLopniFzAUpFEvXW2
1ESKPsS2m15j0XmurxKWnOvR0F+9YRRJ39nmqIZJwUd5bH5wTHSTwLtXYXLl6IT3fLDEtzFuG7Rl
c6s+JJpdHp9f6e0WUpkivgH4CecMeb+lwbBrRmvsqvhqhWH91VPU4W9RDd0N9oO3g9HeIolpPgNr
YowYua2cBry0lVsTA67jOr5qI0xfY7SGtx790c/9pHbf6sJwGS/ZeW9ePzRvedkm16LJoy8BMKWd
RW8/Jq4SxpFUyuFbrpMBFPAaYWUZix6y9q62SXGO4ljbsbK54lTwyQIkpUROll4XC/pwtPq2dKNr
reoKEiGj+3Xw+ukQRHP3Vz2q05dimNWXa7fSKn1UsOIUDLmGy012kSKhdjBFV7Wb6p87Qx2/1lSZ
X0WOYQU7jAVB7Ghbf1GGmBfHMqNrhRjaIanazq8oWuzs4Oa9kVZk0Ma0Lmlt5a5cOyu1YLCiazI4
2ZfaCF3h515opkDeq+E/lglE9Pl1WA0swptgEkVochpOqdTJXW5flPUdA4KZMjfriRb95il10jNb
rzaMzwqV4/nqzqWRHYzYyuZD5/Tu99G0a3Gkn6KKk1omdfum0/dXLgafGL33rO0Sfxb9mPodXlHv
KNjHRfZZ7dxYrXzGmuTKz8L0WvFJG7xheEsZNGfftTZRolMsor6+PV/i9sYTwdEikftJKXDtyUjH
61k1QuWCaPVQIP4bJd+9Kg+A3Dpx8+25sU2CIeMeLpjMhRG2X6f44WCUAalNjBJJWZ6duS3f5tyt
P7tF038wU6H+MwEEo2bs9Zfnlrd3nFkMvKvoOYElA/my/JD2oJVxY6vRVVNS92Q3OQCQuM5ffcZp
lPCkymEaOE8S1KUVK3ErW2ts7jgD7Ns3kkQ9OcNuYvYj4H5NHMFVdMm1QiIyO724QHIm2hrcQe6f
vPNL05kR8LeFElw9xRYqExkU/ZgOPLavPrJMSgBjKyMw6N0w15Z2olGJbKuekaDvE/cL5aIy55Vl
GFfbt2CIni9qc+MxRiVBUjsg7sJJWBqrpJpfaXTRlTnuf89KC61r0j4NnvJ5VvYGDG0uArZcHgBE
eejLYG1pq/bmDjllO7wWuqhPbSrsK665ehOgH8/Pl7V5Cih9AgxCUoBGHrHX6piIAtXbrE1xZFOs
xR+bIbKsr0Oiu99zpw/DQ90pweznrbM3neTBGqlfwL0iNQQwvDYMYllnBnUYXfum1w52jZ/uW+Ze
j+64J0WxuXCskWeH2NkDvw/RY7Wd4xDSeuAquDHSd01S1r7QGAL9fCcfLYhzTwZPm1dWwJZWUJsz
3TlI4ivc1PCUBgprMdT4NCeMuH9uarsgNg2eOrkbgR+N2KUpNFznwpvM4FpmY3+aJ1f7mnr1HsRx
uyCif0a7kY7yf/CGl1Yyuwrm2g31S9omyV+pS97uGWX8a1DT8X2+oO0pxBTSCVKug5byOy3zh+Ay
J84rVSvTeZqsX7I6uJdd9DXPtT+rKf/U1OWO73+wMgnokt4f97hh/qkR1V1YDdqlDFv3KrpxPsSW
Xt5TUbzM8EZKHNUa0ikToj/S4stNrAH+hcD/tYuaO7/MbjLfwJonvqa04c6z8mBR8A1oy8gsALe4
OhQdzCx4yZp2SafMOEwm05nt0lYZHwHO6vnn2vpCEg5OIFq6fDKoYMtF5fWUDraLeG0R9O2hgwSj
pcnfbqwca7oAO8YeHHaprygFkwBAMa9pacw2Al1tAJRdGvoCn9Wojz+0ajGdni/poRUSdCi/cnDL
GgitgaMt4fRol7axp08RGjknNYz3styH3wgENKGjVKVZA05K+Ns9pWTt4uXwh3w4u5T6Kk9Ef1eV
3ex1Vh9bk4JoQKx4T1Y7F7oB5K8SzfLKHJyDNmj1eba88pyWr2vJkYISsxHYIGxLpXh1zBvDZBQM
sJSLG9bWW1Tl8TWf6pfVjaUVmRghmAphaS0w0USem3ixxfb12nBrcrM7i7mqdzKIrTPimIEPhtQK
WIDsc3ngQlGNbhAmOuwkKXKoZmrWnGfHyj7oYswZEpHBOvOF6sTTzlHffjCLzhZwaBAR0L7WxwMN
JCWKaxMRwzjw3jJEGvx29Nx7OJcvi//xRgE5kTgu0B88kMtFKuMonM4c4QXX9Pc1t7UOmjv1L98q
CW/hQMDhoZi0RnkA+VSpY3vMAgjSwXeitvTTbJp2Ypjt3WWgJekYn0pXAaOsPlgZMsrD6kJE89tw
OJDg68eydfdqR5uEAQI4cAsEX6m3yNRvtWOl4npNOo5QJUzjzRW5/V+z08pT7hbRt3qe3WMTevkf
adHucQC2xwKPAU8dqCnxEvnR0rKqDpCY4b1cmmCsr1kfzIRlTnXKyvhlRJB0TrxVeCh0QsiQlqZS
UTtDCBX+0rhQYuHmWsw7RVL3NjWMnpyjzjnLH5Md2jHW/njVBYOQI0onGOV//LO0berFjPZbZPOA
aeKfCN7UIdDb6p+XrVCYI3rClARurjyVo8ZOL/LOQnJKjpAN3az/tY1Lc6/18eCjAW4CWCVLS6DV
VjF86mVxWGWBIYdUqSfYr/2xnqbsGIHtee2W8TpKNB5Ia+k95Muy3DilK6ZANUN0Ep1QzP5k9EFw
yNVprwi9umf/2rEdvgwrgje3+kBJjestAFPdjMlVDloYmqcQFsWOE1y533+tMOsFSAZ8JELc5WrK
Yp7HMMZKncfd3/C6nOQSi6Cvj2qmT//tMzcxbtHkWq8NnkbFQG7jD4ZXFzzgeQETZJe3EjW3n1NK
IUyfHF5ESbxbMTnHsvUiFfRXyyta2NejlVe33CGZy9vMu4a1Mn1/6ZRvrKzWojhVWTRZVt0ss5s/
hoXrfYmR0Kh2EhH5Z34AO/1rBk4e8ZI8gGthcX0QxdxOSXWLw/6D3Q4/56zsYHXd7I8len+vL4qX
kTY0ES6QmdWi3CAVc9xm7Q1xMnM8gkcrU1+fZnWPUPvoCBLd4gmxRRVjdXfBb7WGUyQtIqcNQKpc
QTeCtl8xTj+FXdXnH1URBuXJyHVzuj5f44MdtYBwASqg/QL8aeWAC7NndF1cdLemBZ506FWgIWdn
zJBXrlvBjOskSwcQXs+tPlgwhxHOBOpCtKHXSv6FrVWzxZNyS+Mg9hPLFheHCIGB3pWpHoRWxW+u
YjbljtkHDgUIFvPF6N3KkQirxHwe6yAZ0hmzujLoTMXyorcsnPWvz1f30AwYQ9le4pOqKzNel5eJ
F4X1zRKN6HyGKPfGr2E0BXtaKA8NASKlgI9kNeWGpetC+Ck3+8jmbvdO5I8B0nhKP744dkFeOlpl
7wVhyeky5K/4IVmup1KnKJPUN0MvPoyK010tbRaX53u2inYwAj1f+iluAeX69c1OOkcX1dRUt9Fq
kzenbP7qqop6c+Bmb26qz+UXEQgrPKa5Xuxp62/vAKA8EnQqG3BEeKeXCyw8vWmpOpW3uByar2WZ
5o2vaMOE5J/jMJ/ACprixa7n+3olXlNCPoju1nm6ZWeqMxis1ywIRA4VxfyvTLPP6lOZDtPNdPr2
SO+z/ev5Nj9aKv07QmTAbJCXV6FdrbQRlBK9vmk0rusLg3lAjmYmYRiCD2mk+11emNPOfdjedgAt
pDg8P7Lksl4rxFHNDdD+vk3xWH8qva7TfsoRJkg/KkwPEj4sMeZ68hB79e/Pl7u9ILJkC9ZRHl8q
V6sLAh7FHps+K25BK7I3oWQZHYzyRaaU/JbUasEM0cYm+/Dk+n+4INADa3sahuLWVWNyUfSq+jK0
L45zluGCtEJQTuIBdWQ95wycsZvHaVrcVPTC3uws9/6bwXs/klbmGWChrNwJjB5uHvAGxpCBAuB+
LJflmim4fF0vbnUwJGijddEljIL6+PwTreLWf5dFcIJjQaOGh3ZpBWKKZbYJcuKFPRWHIrA7X2fg
8dEoxF4Z6eGCoKtIhDleZu2Xa1VoBsQYdnCwurPbDfnNSMe9qOHhgmjVwDMGUbw57TyoISOt7OIm
YuKhIKrnY2/2w9ehjprz8717cJvJEBFSAe5CKW5dqqpiy2mgxBQ3PRzmwc9EzTjeckR4QZss54Mm
Sn2HwfRwcVS1KWQivAhWf/m19KAgTmUY0200EudPCxFuv1Cd6GvmOXtz2h59Lfwj5wJKHQ/cKihi
ygODq9SJg6Fr/QmlK/sYAujyn2/howXBBoDCT/QlJyAsF9RIsshoBuUN3dTu1zit7a994DX3oFL3
2OePTIGL50JxVYFwrspjvdLaVZ1iKiTlPgRN0p2mNreOU5eH1+ererR3P5qS//4Hj0RuNle0/Iqb
ZzC39Uil246PJYHgznPyyA4IEK4ULyjFkNU30nJt1kYtKG52ZoznJLTsS22i9vp8NY82DrQEUCN6
KrKYuVwNU/d0p6piJg7kZSk+wCnOzYMGwUG8Dbkb7EXjD80hBEyjnUPurOWbY3VgZqYzc/Cmrjya
gRdeY73K/ElP0p0L/Gj/iBH/ZR/K3uJyZTA3EPNo8Ons2nwsjGz267Ktji/vn+yK8gzKsg5azUsr
bdF62Km4tK0yWEwx6drfEO9lWjYVHS3YsfbgtQeCRIBN7RQtHVc6rR/OXhxbQa7nHr5VOOo1zpDf
DPTJnwLXT1KlYSx0kOwc940fpCEL+1qCyCTrcV3JiRQYEwjD5TcnU9QvdvypLA+lOrfHAaH00/PN
fGiL9hTvCI0qSpnL5fWmXiq1y5F355CoSUm7ujwXzI2tjk0QG19qxRl2nO7mlJBEkBgSntIukHiF
pckytUJT0MC5qUxn/JhSGT6kDP346fnCNseeQEG2c2gnUgjBztKKIkYzddsUK4UVHHQG4X4qiim/
xl417biNR6YklR1eFRgT2BVLU9FQqDnTucPbOAaFT/G7PpfStbdxFLwGXX+XipSgAIYUcZ95I5em
1LzX83RugluVpdZVKKr3Se+c9EPd2uqrwaYs4PPqy54Obd/1BhqlGhbOZAW3IHbC46RUv+XJFJ2f
f6XN8ZOTPAhlgeJD1qR2t1xPmqfCiZreuerW/CnTtHskBtdndMkvvSJe7A/g02kO0aAiV0ZonU7I
0pgA75EbTPG4xYT3J7sVYeq7IhbHiv9s2HmJN6ccY5QEZAz9L+5oaczU2kDOlslvsRXrxzycPX82
8j2g5HtxflFCIsMEYk97iheYgHP1mMBjHgoPfOvN1VvR+2neNQym76LMvKaW2xT3Fv2S8Q2Ab3qs
S143Px+i8FMVaq21o/Wx+ZYy2cVh6QCJAc2sidrWLOfRuC7bO+VedeiEp17B/Vnf3LgePzYIx+wN
MN5axClTtZURo1QyXb0EpeqINq/a9Ba1dv1H42jiA/zfLLm7XeJkR+AzkfbyZ5VXj6Yv5wi5uDUb
1mtb16pLM73VMKj9LMq0gzuae0TBjUdBPhkOOmgu8LYgnVYnNWw4xKOw+tsw0Y0hUul8RDnqQzFb
e5LE76/J8gSRs6MrRRYm06L1ityU2xA0VXsLu2D8aGoTc3yqsAmwqMYfmCVbnVzN6nyDaaKXUs/z
D+RtzvchsBw/Emb0IrmCW0otDQVthK7AV24YupA5AJBWWX1jVHD9DRyh7tdem+wc1u31JIcGnPEe
RugAoJbXU200MY9e0Ny63uzC02gbyr3rkTN4NdiTaTS5GZMKwNXzSiztzCJiMGrYtDdX0drPWWGl
58lokm8MzdWPz33pdkm08MBXUQ1kYXSTl6agBQzpoPT5rYgRS/btWbG+Nro6/vLczPZsErmCJ6CF
7DBEZQ0sntLKINCbMdPa5oEIBo36jgw3mhEHfm5qc78pDbASKcgMvpjEfbmiiVHe8CCL+VYFQ+WH
ZR/4ScwEbZqV9Z2ZXd+em9usDLQYaF7ePTonINVWsVBjVoC4PKO7JTNzjdOy1VC4RHaHx30PQvzA
FAEeulbSayMIvjp+VReo7mRN/a3ogunosNJPXaZVb0UpXi4aSTQ0/WMq8eiOk+wuNzFschsxvFi/
dRmKBMi7lbCw7GwnMJE/eOFF6GtBhKKHZoNc3EAzZrv0GOGd6mSDbXAOB+EwDDWJvvcmo8esvNQ/
ZBUeded2yS+ysUohjqaylGVa5zbGaHjK5I36Te0NcarDuj7NrRudvSodPmlz2785uZl9qu1U/IOu
x17BYnPjKPCAjJPq5HT01HW71yzKGNKFN92U2laPCPqPiAw2LydwWCH/QFcWHBRnZpXTg8h0GdvO
LWjyMT9Ovf1fq6n042BrL8LnKWsSqkjdXOgIAMDXYusCYn+ajI16h5mjfB645/fSMPdaeOuj8m6F
yiKyQlJZaP3gjIS1mRe5812oLuPne+WX2hx+0oE3+HKCOijm8/N7vXYj0iDROcVagmbe09VlYyRD
PDlI79/TzB79wAnt4zSGjm8a6W9NHv783Nr6UGBNki508jcmeG0kB+vKKm0nqcZ7B7X/aNaKOLRR
W+24RvnRfzz5hDvI+9CIp0CLM173xxUZUQO/G+5Bkhf/WIVmHotx7i9jJdKrqBrjjzSO83Nb7Ibs
jywzQItKkmxxcPqX/qQ1RJVZTjzcTS2ujmMzN0e9apojP2c6u5lTfGlG9GxEVXu/Pt/ZtdOUayYu
kkh+xC6oRS4t1+lYzsYw9PekzdUTUHzlwOAG1c/F/Kp/ZqYWbTVGXvF+ka6uI8sxAoaid3l778rZ
/gWpA5jflRb+UjrjHsPv/W8tPyUlJwrgUoJfJpArB+21qRpGvdbdR8OOVeahzll4j5XG7n/lcUyj
Y2gOWfyLO9RBcJ16I5z9Zsxi95PWe6F28FRQQneCqkA5Tak6BkfLZEbRjqfd7r1BlVki1Hi0thSf
wTSHQR/H7g6PCtwHowPLz33sFmevS/egQo9skRcCk+AQ08ddbYjVF1HcMBH3HmV2cegopX0YsiHk
LpXjr8+P1PaycpCBpDNOnref4vPySCVBqOUwzjlSSdn87Lmt/uuUxi/OacOvAl9FRgd1FklAWYMW
VJEVjRvYzb3vPHGIUjs9BLbZ7nyiTS74bgaEE0kfVqjLLhej57oAYMz4mNk0iu8q80z/OwZIaLZt
3J6S0p7eQiaCnOlHq6eqdcObFQ7uTu3qwbeD5vauFERrDHb/8jdkwprH2FWbexKr+SdLlPHHWm9H
SlnZuCMg8MCUHKRCTMOKETpbfbvIzuLSLSbvnvZzctdjoDSVpXQXu30Z2wJHgqNPA0SOFWaDV4Go
Pmdt04vMvatpqflB3cTnICjFzju1jmakFZ53PJxsUOPklnvHIQUYRBh/D50uODOn2QWSFBdXRLXF
uWn65FeTgOfuZVl0Lic7uTy/C1vHTkkVYpvMBcnT133NOct7Rt8J516BB/w4dfaHioj7Rm4zn4kW
qvPca9pnA57D8bnh7fvMx5P0XikzBTl3dWZ00TaWNcfu3XTSP8IKjXQ0bBPELdPJbwJ1L/7Y3nku
O/LyeDHZ/l8/nQj81AnZp3NXogQJz6Ab7g0Pzun5ot5n3S3dOtUBTo1UxqNksK4KUtuvAPIo+l03
mE4H2jC0+jtxqtodHVDMOG5vDP/T2EahIX1cucXn3G2N+pZldRGBkuTloWXe6trnJKud6AZCXfw+
RHQP/MkdO+Xa1IX4OKcFWtA+LAkr8FNwAYEP4aXZE7reng1Qw8QyyLDzVJHTLo8mFcmJLMjS7nR8
YJlMolUNBnaN6fBZo+IynHOlsQAYVAolJ9eeSm2HY7o9I+ToNC84n/SOyXGXP2AQc4vcdaDfU40x
1T4jWFv31yB3p9/d0XHmQ8i+dDsOZnNQsCXnQsEEsyWac+VPFQIDWK1tfK/ndLwkXhidG0AQ1+cH
5ZEVsluJqSTF3Qg2TqYoLDpAyd0slVDcTFF15QGphCndeR8eGIIRDLeGw89y1ghcCGCtlsxDck/d
EvacmrenKqjDX15ejhT+AQTFaZEs/+WHqqO6VcYwSu/gMqDEWlN1iCN0Dp9b2fh+an6QkSgZ82fA
nci1/tCVKevIMsdBRPdiQJHJjkv9Y6Ejj2Ho6YujDIlBpCkKYxLfBTFpVcFp0oQp5HYc30ETzUel
GsWBITTOi3XFdysS1wHegsLiWsatyeuwoEsT3TFWkZpoaVEdkjEs9rzfJvtiObzQEsFLlYPvtNy5
3O3T3Mvy6N4PtftTm8zmKY0r6zKaavBxcJTqQmtUe7E6IFdHWxpolxT7JWFZGqUCXo0xQ9/uITNe
v0PjmL6nbh9+CJ0+/rky7OFLbCO2+fyMyDOwcMCkX7J6xEeTkI91EVW1+snUEjO+Z7qSnUUVqaB6
8Z6vW4H+BwEQBCAYJGO5NG92KcqaUXJ34sg4mQFal0Iz98C1D84755wwEnw3fdz1ExmGYdJNmZPc
K30Y4gsjwsz5bCRNGBwyL9uFrz0yR3WP2joDbXi7VtfLQQ7ENZShvFd1IO7DyJPvNlp4BmyU7zjZ
zctCmRcny1cCAktyvnKyxdSXTVuV1V14xlAePYAY6WcIEXZ2ALusM6o28kqdcGvu+ktglAgAPv+A
27UyWATgGjUrGeWtG7x9qVudCw/mbvTWfGSn/1F5ug9hP+/d8e3VwxIb+i4+Sedi5RqDoM7RL2yr
O+Iq4mOpKCbD2B3nJ2Jx45iMlne1nDl6TbpRplBoafBuQ61EDWJdIgt7kMxW1BYkbvN4gfDYHKoR
LGBfJfnOhXuwkyCHUTiGwUnHzFzdcpGowtOEXdwrjeHh1Fj0OT4M+tA0J61VhbITrz7YTjquhMoQ
o7h360MKQoDpdR7xhm2Ew1kT7fQBgM30xYH1+MWeU+0LM5/25p1tYnQyUryZnExAoE4DaHndGZ3b
J7lo4rtDSvAJtTbj5PRjcYNipwV+XoZd/POcVV7wqUwVq7m0WebsbPPWr5FEMnMEzrZsZK5/wgTl
3Rh6V7mhmRYxvNxxfR6Pvc7iAys8ebhqT867p1i3XGg16TRdolrc5ioIv8Cu+w0ea/zz87v3yIjs
PMlaOI+sujKS6HNrVVYqbnmUped8StuDkSDO+tzK9lwaMCGAiErEAYnN6psluJRQN/PgPmloWsyo
Vt6LDFZnaCl72kZbUzhNykYy3SdhXEPfPVgxuWUMxT2DEjYebOYWIeRsKVaEHs+ADPfzlW1PIykM
R59xUii1g4dZfiQlrfrJrt30XiapfsxSw7inyQy0PhjHjxGD486aEzrHsgmG0xAML0pzcxHIVnki
YH/jkKmkLM1nqXx3lW6+My8rVY6FaQAbMal29D6DJ6Y9Mb3tacEcxRr4kXJk5To/TuG3R61TzPcs
ncxrWHrukdEj0en5nm4/IRQg2kBARakJEcQuF9USMwzpFM73QNj0S2rDaXyvzegDCTS+9qp/D605
lLDYQWpem+J+OzLxW3Gmu6ZWzcWye6b8VJzShhlNvz1f2Hb7eOOYb8YAZHAxdOqXC/OifEBIf+wp
gxtVQB08juEHmSDCn9vZLkm+paZH2Mxzg07Uyk4ORo9Mrb8bold9higW1xR9gnPbqXtTpR4tiRSN
zPS9vr9W4vEaZjzN4EfujtJlV9XLu3OgIHr7fEFyY5aBpPz7JICmnGKyedfKURkN2Cva3VEB06Mc
ZuQM6QqZzI22+TD2Z4J1dY99vHzd0HQmnGTvYOrQBYdMu4or664SocaExMs0hOV/qITmH+Iacf0u
LNMPM2LZpySv4pfO/v+MUgulUgm5H27r8tPFXjgpZWHaF4OQ6DrYhXbJkiI9MP58L+xafrr/maIX
Ax9JTiNbO+XQNPvWDGb7EmiQn3I9UwjAVPX/sCBqhJQMiBNY0eosTmUaIoMjbCjPQXbuRzs9ZWiA
n/Nm6r8+PyWPFoQmGuUCOSdxUyIZE6amlLlrXxDbST9VBLN3AV18J5zbWCG5RpZGXmHg/nAjl1+o
UuuUMUSDcunTVEdAVBFHxypfI9rzcbi6aLTIocs0N+FyLa2ELiJJ3qA5l9YtnN/J18QxqizvPJrV
HlNm6S3+NSXb0xKYRd679kpqD2ZZ8wr3EtSD+EsX2RTzRGsRTR7AEzs3eWsMiiJLwy8Bx8C5L9fl
lnMGoUjxLjlal5feVty/SQ6LQ9gCVt2xtf1S2CJEA0fgvhPSlrZqO1DsJrI9qdxYtv7YpPHPReXF
O8HNYzNMAfh3NNy6mlmWbhyk3LJLxrwKP7ORE28CsUdsfrhxuHUZP5FLrLFdkeLleaoJ7zKYrZof
hhHAR9y33bFMqnqPTPRgSXDeqYRJVTlvE695cRupjXBZUliVvlaNHfWwZC92emiFRAVMGuknvdrl
9wmNBJ9fBOLSF6ZIjkGRB387djXvtWW2W8engTUHf5/aKdCSpZ10tCtS99i+iDgy/VhvBKMy2/Y6
qom5UyR9YApQE0woSb3UKBQsTdGcGIi+TO/C3PIBVQJrOmiRsGkRdvXLpxtcKL0CIjwUP7S1qd4Z
mn4KGu9C9u75am96h0ArnJ1QYhnfSudAmYojB++QZjflgeWCKsft6srJxcWlfyb+iJvCVT+XphGo
DIUdOs2P5r7MjoynSP4JlaoTx9nRmSv53LNvt9WW3UjpELmrpLjLX2FNhWJo8ejBL8PdllFnwuk0
vEMXl/X5uantoaT3ggYNIS6RPTdgaQr+b5woVAgvGvrY7Skc0HCGnFIYe8/vgzWR1GEI0AyEy3XZ
RdRWUDtqIS5WlzWH1DWZiFFmxpEu4Xh8vqYHpvDtqF8y/VayVPXlmhocu9mZqnIBNVZdp0r/NqhN
5WdD7L1uCS4U7xWQJ6Bp6659kiY1UKMquDYdfU7NK50TVQ40F2JlOL28KApjFMhkwRaJIrnoHwrQ
veirvNP04JqYzbfETQYc/KSccGbmyw4eEr8UW6L4R2ix9h+hkk+lAdv2Gph1c2AaYHcwvSHYWc8y
xn2/aZKrTeIqhV3p8CzXE48MegsGDU2sojgrtLF9L7T/Kdr+Q1Pke9qkD045PRxPbh+YAg7G0phl
5HL6WxdeQ9G5vjkE9le3G72dovP7Gf7/cbtcE+VmaMToR9C7BWa3NKPoIdN0i1q5mIphZoPfe2OU
fJ5UqkJfZh0Ogt/FdS8Hj85x5TO/Xv0a19Cd/QT5DsufhzZPL0VoQ79QW8BR37s0d7QbhVBXfH3x
OPFAEJHIkJ9yC52E5U/VhkDJyyDIroY7/F7mcXMM8uxbDl5px6Nutp6Nx6dKZjBwcTAJS0Oi6JW6
Tcr8OjIP+ugUjX3yWqPYuYib0yStIEMCE42TS0VwaaWeGMhQWHN+NQa9Hg+KURatP/dU/xmdOffp
feZHmq+6aY8QiJdWwnqJJtf0wc4uUzgukUvGFNvRwfYG1ThSjxznc2S2wZ6rfo+sFscLe3TpZX2V
ojwlieUivVHzwtyenYtpZvPHKBuDey207L8ohzjuycyUCEnQtvfgnBR56Fw9LyqGg6EoYXM2KnOX
9715LHmcSNnwfO/SmNYqNchERG8HYcTLFInv7TRf9Fy5W0HwLRgTJm/YvxuV8yEz6h3/tIKdcM2w
i88giEf5kpdkZddtjNwrgsBjH0pN87UgN3w3Eu6ha1TtmnWh96Z5TfSWFvr4k9Yp+h/CzKxfnl8g
mcgtPwY/gqIQaowU2eFeLD9GWPSmCdjFI1IoI/WsVzoKRiAlDOuapRRufDcsmi9JmA32TgNje6No
EwNdoDDMUwD3fWmZDn/l6NPkXRKtKjPfKp0p8sVMs//5Ch/awVlKAQ/5bssd+OHFCQu70OOu9S5W
Wzt/Bcnc/aQaTbYTQj6yQkxADZO4TgriLK0gQxZpDbqJF5TPnA+AOGGGpdFrGgz/HhmKDFwdolS8
3soKgWrq6gG50UzMZpyGPNGGY6GNw96sPfmH1sdCwhRB1pFIbOa2jFaQFeVIkE/WHB10TS3fPKer
jnFa7RVDH+2cbK2DnKVgQ1S13DnTS5QuShNxSZw6+sPOmuRiJYV+fv0UgCeTQEjIjyhLLK3kTS0A
rIXigmjrdIqMWL12SrwnIrT13yTIP1hZ3aayHitGsxJ3D06Uf85nq7iXoYkyLGrpHyGtOKfnq3p0
e2FFk19SBaWbv7IH4sQbqQYRYWt2d7Nn93tS9eOhyBsa7tMdQZfXtFPeTyDvE51NHlxZRlk5LYMn
olC0TFyCcGourlrHx3D05pdIiP+zQpTNKYcEQlS6/FppJWg9xqW4KKIJLvg/74r+l3ridOyxrx6c
dLoAtIUgSiPEtGZ+D+1A2GB0KM8k1q9TPqqX2YlrYp48vT7/WA8OOpbo4yOjQPbsrI6gqSQ0I7RR
XECK136nK8ZJNTvr9YPOcmR4CBAX/7qKiGCu21MQ58rFS7vKPgg7EB+Yxa3tqXI92DdkxjgAYEk8
CRNffiKe+AF2bxhcrcTMPitxNrzFSukxJKLJ/3y+cQ9uFTAfYL4E87Bf18hpJDJnNrQNr12uq2+t
mNxbrijNVze12z8tp673aoXy2qy8n4yB39dH4rU+5DXvpDorSXiFmDGW/lAZbnjU69As/dFW6r+J
ZoV7LgYrzH81ktap/Qmt0Pqfzunq/ATcWq1ivxRNhqy3YQxfOqbNVWCvtMTy85oxpofccdrAn92y
N//q7U58F4B/2hOP7Uh9LZja8tjEOqJIqHzY7l9op8DqbBJNDT+JQcfBaGXTtZegTZW/vQwmMg8b
M3LPWtOG3olxD2p1MIO4M/+ymt5EDHsYEAY22pFfMBhD0x2CIYj/yOtaUiM8xtNfXIXB8Tv+6cGR
p38ITJheg9SnkP/+h7e3nksGG9BmvnpDWHxlXHF8Bv70f3gVZWgOwpQskaB5dRS73imQCplCcrDQ
OlFdYXDTTKnj+Sl8uJYfrKx8beYEtkHqGl6FFn83u//H2XUsSapr2y8iAm+mQLryrqu7z4RoiySE
AIEcX/8W505OZXV0Rr3Ji/uuOSqUMltrL6NsPQLHqP8+yB92FYAMqB82r1Y0gbat8J8J610mCcB9
LPVOm10Ob/0ytX2wIwiEv/A9fxxqc5BBZwaOS+fB3uBUuLjnsOBGaCNSPBK8MTR8AA4IfP5Yd3c7
zuHgsSm28H+Anp0/KAXIyJymIT0y0tJd1nnLrrGF3UervRTU9/6r4HeMaLKtbYGJPM/F5pBYIpSk
oEdQ4aPKTlmyK9oseVwu+1G8XxAYanPCRt0HasO57RZrEMaDgDAGIz3FS9zQUxmooriwhf74QRBK
gVe8+YWcF5bTwrSIKPIXGkFbLLlCVaGjn33TqQs3x/uRgLJAgYPCErSzd8wFNMy7CG+A4ThlJmAV
XB3cUhERGA0LxMK/9KI+Hw6/z3a/g70A/hAKwLP9ZFr4d6S8aA597talzEMedkfa8hY8XX+zVf37
zjovlbbhNtOEjaMNc/nz11YyhpOfSaBpE5x1q7mn43WgI17PA1UHmcMnc/a5f6GOOb+5/h0Um/nf
eYVbztl29oDVxWD8eIfZBeTZy/S8c4mMT2Pk9C2q3OXC8XH+lMV4W0sQngrAQfGpZydhQzq3tmvu
oTlIB2zn+ZcIg1c+yweT8+e+CcZ9z8wphtT777P7hx9zY6Bjw4Ehicf0WdUBz7YmbhFnfkQEIS/K
HtzmJ5dO/bwzkDheOor/MK0YDY9V0N6AVp5TxCcFp7JgidojwlDYweQCFT2dwU5pO7s3unD2wll5
vtW3ed10DLDGwFMVhfrbYznNCPGkwIDtlNuyyCWYxkhXv/Dr/XkU8FKwRjfm9FltneeT6G0Bf/3Y
gZ8IKpWsQS5NLiBZf5g8TBrqT6Blm0Hs2bcEEd51iUACQgrRSV6yWMhr8KDaG5ImPUIHkfv38dnb
7CrAtvlXMH9ekvoOPO0pnjEicm/vQaZWVx0NspcPL8Gt5QH0P0mgFzo/jjktbO4YGNoe7wa4qLfJ
nfPC8BCq7hLo+4ezBA1KPCVxVqK78W9mzn9uaU8GJkdKJO4zEDCfCBnz44gDchcR2fDSQZVxUOBn
XfB/eb+5gTP/m7MMwhL68mebG2mTRTj4Kzu63B/0gS461NdxmwR0D6rgPF+ZVPEfS0NBZOoCqbLa
LjxtLiyf94sUS2ZzOkXRj+VzrkI11EuDhfTdcUno8GxI7p6VWsanj/6Y/84rms6IfUa37OzgnLyp
SWiAOCWwe9S1MGytmkGEd7QR2QefZZAmoQKCJ/kmhsatt33wf37MmSh/GaCiPVphfw6DP8GAae4P
f/+eP8wa+C9b6CEKIGzus0H8ZGGeBMf5mMtVPHiZF5ZjKi7Fh77f2mgo4hjeTmKA4uccdQAsEwQn
mh37MaEPPm+zV8RSgl8JuV5wKsJ2vbAk/zQgwFM0uMEVB7h29k6PZdrZyDjk+WQJuwl5G1xNhMVX
XDbLXmRuOn14GnE8gn6P1+0mRDpbFq0Dz7v1Fn5MRiH3oVHkFNLAfPt/jILmB/yroFsAtfntimC+
DaIe/K7jmOuxosgcJ6VvZPflwjDvkHAsPXQsN+c0MF8Q7nm2o1Voo3iKAKZ0Vgh5tyZcN/vCo6N+
GaEz+eUBNvOul2lgJwtTv+IIjbRYT2z1JoLX9tJGOw9mSeuNmeNseuyVC7ksUbIO+LPTVKY7AqVm
cdiGGXcIJDYchbcufmisc12FYoQ9RKGmfDqEs5Rx5euVknro2kl88ZsljOs2bdb0uUkM7j1w06as
XlaeuVMbhVreBCuxU9molZCnOGZp970VkC6WrYoDpJfr3gvn6zBaM/IKxg0oMazXuTuwOfeW5yRB
N7hOJn9UJWumxf+nCVvndjI0bobFN4U/Exqsva06JsZHXQTUVCz0VDRW1hk8zFkzxBlBw8mqsAyT
sQ1cSbg09CiGbMp/sXaMdG1JIIObwrZrUs0wmBK16SMyb0o95x86PvT+I4G7t6xFYX1zTYRfIKUa
Z2xWazHIuS68pI9eurQYijLF+o4rdIJaUppFO6vKmam+vQOWGvk3ib9yXY3Q8HSV6Yz4XsDNVd13
eszD0liYalWLkOMvm6HRcxWsnusfZZ4rt0MT0euvvNE3CMmCV7cFKQX65dp2ds12S84ozty4mcXt
5PWZ2nte6oVHvKNM/+xa9I1OjWxSGOysXWJq4/p1fLawJw5vJhJyu+dz1wVfYZydGRgsg9zl7jCK
dHtfeoX84aHnmH6Lhr5B6aFbIXZtF1JRQoMy8J2blUdIWVgc1m2ps0CZuzxBi283QjQDnjMv2gnY
Bi5bAuZJkrKHYHGRb8ooXQZRzs7NS8n5GsGNbQ7m7JY5ybOdmtoxrAG3dOaBJ0Nb/ApXry0ep2kM
xsci0pqXWzBtl5Zr7839sUu9OPsxkxTOADaPFvlTeskQubLpCbIBqjEKvOF5yZYCP0A+LsZeDYuK
5ivOFhfcSAHZ/4F7BW13zahYQ04dKtfw9d8Y4Z/GRiy7SyGejI6jCEL1yYbAp/fSY7zZE24D88Xl
ki0njt41xV7zlWU7cD1y2Aa3kSXVOkxwBiqXlmAzlYh3HNBMC+VgfwNGM2E9oU6anwevyaM9egWC
PHobMr7v5xYAEAG7gFVtYSI882BixPaDXfQrHKjksFsKRdIKa0bLEpIBnErNOuJX0fMwd/tuUpH4
p7EAr8oxtpl3Cj2+PK6pUFlXxnzNG1OG+ayL+xU5kvmTUIhXffAnEwasLITxKWwH1zwF+InodBTt
CFRP7nyN9u8RqWAmfO0TmBLX4aCLoowV3/5JCyy26oAyslxZ4VMIbOMl8cslc3N+0BHNCrimxI14
HlFuhuU8R/SfcVBLtPm1z0u0z+OQfAdyAD7yGsxdc1yDVY07PbbWfPGShbBd7vM4AbtNKmi/e6JN
vwtUOGeHAq/gEaYp8cLu43DykIeOdmM71ZpMKSsjGNmZ7wYenPYU9pCjVXEmJHwp4QYng5pSOgQ7
A0NpsacJxKKvkJkH/FvufCTD65UUSDUAWyH7FfQIGNKl7XNDD4IuQaWj+ZSEBrykfHL5LoKzyEPE
UGVUAvaebT2kqS5q1pF2rlxn5umRQTt2DRzQdLuwI0qDjJ0yetM4JMmVqwcfZBDDCrU85qvxANJB
VezdLl7T/rMBuYSWqTRyrXAxNvNv5rHmRQWS2qtVqIYrUJVyLXid0Z7EFcBNnSPMGx3zBWGUzqLG
L5WmS9+VOMuYfxtQHrtTEPN2vktdSP1PshnhoIBtBFV4nYrO8wT+uwy282UQd376gJkN1xMCwKLh
GcaHifluJ5UutdDILrTlMpNJlblOBcw/iz6NKqEWI2g5p2uU8UpOEWj80UBndsPWxo5e6Y9yO75D
kXqsAj23e0BqLXyxsknw74PpdNuVopWLrGm2jOy0JiP+Nhg5j5rBymFKg+up8Yg6rTFPMYvjLIXP
sGybJS8zD+qMK38Nh+Cq6PrhpQC5S1+RwM2iROQCueon63tHhllN9iOiwNLSMAxTdyIKvsxF3KnK
jlyiGR3DGK5eFUa87XDpene0xYqw5eTbwrvNY5mEV9O06PYgMpZn31nXsPUOOh4948aaQjkfLXP5
GJVWo9h9bNKikfdL0YRPxdABPBJrvHzOdRz8aEQDDyqBm6mpcm7Nzdyq/gtqCPIwakQIwxgUPbij
R/30S+KH+nUSwtoKKP0a3xD47ybQWwaaltRa/ZvBX/9XA6o1O8ZMTR3SkTTmEFTs2QdAALO0aLnr
MgTyvMpAs+wAcl2bw41kRYZTDceMNMM0pY164omL6HW+BBQaqAn3cX9vBDyGb8E41N1Prmf0JMph
jmT/GsDHpC9pKl02lF0r0lCX2HFrfxhB7uyfiE/ypeyWZo0PSvAkXB+m7f955QPr0qn0+AhvMaxb
FOv7QkilKz9X7Q+RNomoep0QWbKZLd6tN0XLQzADpb/yMjq1WzmUdCWb2lChshDCr6NVJd89u1C4
uTPKkh/QDfddpQtOxievSZDlkKTgS96qhtA5rBPK0t+BYcEL9pPXvAote7qDnRxlvzs8wGwlQPf+
aL8VlSAE04ig2VAbhJxs+Mp/HyFM+bgQYbMZ4lasx8RLK3SSQJrjUVpfKDvxj/pvc+N8qLMaOoho
4AAAimOPybu1hIt//NxcQv7fP5HxAofMcGsRwsDtXGEA2j8brdP9kcKe7NQnCg2RYE2eXC6mV5ou
fg13hvjxo5+G3ise5nABQD8Z3am3szgqX+qMCXGUgWWknkPVbCWf/zHBHrqqeDKCqY5GP7yENmHu
23EmTf2wH2JytH3M/9Ecxhbl6Nvcr5EK4v0/nsLQ00AHvPmdQfDydrAQ2qBodQ05IjII1CuKZLqX
ATW1q0bQry6xr98BeRstFXRl2PcA1H7HHBXriLI3GIejzXAUtl7Ov2NXRiWcMdfnv/9a7x6PWB3A
7grQTrZn/vkS6cYY/ZqhXY6qwS0Ze35X0cK8yojOhzj6sEYD/hjISoUyFxkP8A06p2KnI5XWFCGG
g/yrInadj3Fo0pIn4MP+/cveTSIgISwLwGvACiGJOnvX+W5mLf5TUAw6l+3wOklfCsMhuodQ79eH
h0J5CJZeBNgeSvGzpVhM+LnUiqGWAiuiUzkt4UVGDwP7YO4tVj0SP4EZgmIOPQ/a8mdf5dlBKzIt
wTGIYR5lkb1Y07EXpU5osf/7V20v7DdnFIaCkmdLwkMmMwZ7u+aDwGZwj+bhUUGKLk/gEYffhD9n
Yxm2LXuNSNg8khYfuuPrQD8WJPy/D4VyCeQsgLBgH5zNaR+0C40IRm/x+t3jCZ7hSkovxY28g4Tw
jaArA7LEGO8VsXiDjAgEjMKjz9EM8OWgar/L5YUj8XyTAQ8FUpJsVtwbXnJOIsaROE7pGuRHDQ31
aYim9cRj9Utxnu1jJS5N3fnKh/5la7NgMWIwGNOcQSdLwtLMir45ggYz7Ic1d7UfSXkgBbkklzuf
v01qA6errbUMgyGYGL5dI9Qq8IUcoFfUBknFwUiF1Yu8ZODyfv7AOMBPBJwX5wZ4Im9HKeTACs+m
+dGS9OtCgpsZ3lolno6PJl3bD2KreRwA6sSsbUooUE3Dt4NRoX3bhGt0BLNgNPXiJGrQgXL27e/b
692vBJ1hCtXwZhQG7tB5tUHwLUWTBuwknWxRFiFzrNo4Dy9Ek+TCKf9+LECROJuwoUHze2eJkOSq
R2o9jH8dKaKrGRfXHTWTd21AnL4wfdu+/O+pAah4owLjvAXWAjDyrLPRhc50ovD4aVp6Gux0R8P0
O50aIBpr2GQPcoQs4D7UTcduNBn4k7+MWh8/Oreb3BHtge24RKTw2bJcN35ZG6z9KZpHsqMpUa/B
AnZMyRJyyYT+3RYASQC4NQQCW28RL+236wVPNBDNSStO46rbvZ3TpM4sTS8cxv96YZ/NKwo4cIBh
gbORzM6GafAnpGEf9qfB4KFaiwEnc+16X7MKQEv+shQiaE6ALOhUDkZad5PrNlnvG+5YDOShXX2Y
mubpp8CQpcXvEjnAiBB30boJG2avFjnn02vjMYNMtb7tiq4uSMbti8hGBE4mMF4YjqP1F/uyxmoy
L8GYJ/qmWOEHsYvlkH39+2/4P+T17SejJbB19dGKg7Pn+RUQLhwPkSJvEREmUPrs8fYzPjshLJpu
UJSbcv05iUe1vszTauMvFgbPAS3x79DoDmyHLqnTpImaO8pBj7ltkO1hq6Sx+K1in6zBQ08Y744K
MBFwrAJhSLuBxV5cGjA/xQ/NQeypIADw53sq8b89DQSN212QsYlWOpxIUwNgIt7LEo55X4nRDd3O
NZGndwMeGiwtC+6b3wqdExhc8rDHM7ub8uSojbYG+TpRYA6Yy5ndrpYLejOMU4SwuaRAbYS46IhU
owMjDmLZbmzvsnbM412iGiNLyv3IXScc0h9e5RSd+vtszvL+nsx9lD5go039zdrKpkf2r2uhB8jx
8r8mvZi8J5cUNL7CmZoN1zFjCO1Yo8h9w+t99HdEZ8LeBQ7PwxN4ACBflYEkqEUTr+nk7261gDEA
icbFjoqskVXTdV2/J0rErF7xLAt2rTBRBww4z35jj+KrTSN9dfJZP6n92jteVFo0zXfCeS/wwE0p
K2Eel/DSuNTpPVWhyQ9zEwbfcCWIHoudCnn0EVM31tjvHh6/M1/8JzO49MUz2vEH+IYl3o423fAN
qkL/N13C9skxX7pSJT4BMu0Vk3+VdNbMZaQW+okCSy1qSNunJ5at9kEOnoKQM7HezeKWBK5gE1lI
SSnKuzLUbhqrrBesrXgCF9aqDzUvbjokQPzweyDcOzQoePAZKE3sbtqxaL53IYc9fzDEdKkKGHCt
pEy7bM2rTifzi0hHZUpjYPtb+bIvpjoI4FLZlpBkUlihjk0xHlLYY44vxC+cuM7SxrR127peH8wE
hes1aeLoHyPjlX9PW4SZHgHLjd4xiRFo/aQLXPxIYvRDr5ynrHiQ6aqjtdKBR4JPEEeHL33vYrbn
gQWOXg4oG5p/8nHK2S+gsf0nRglTB3/oTHLvWrRSaz8ewdoQK8NP4hBDnz0JJKbAxMdLyFBpaoMV
LyN/WEvljR7aryFcD24FEZ26G5jn/9OvYFYdQ0RSMl3xqM3UQ2FlNv4whWCvcZd27b22Yno2uQuC
Z2FAjUOjv3OAqZhd01Mup1EA8ckMf02KziGwZ4Zry1UDDPe3RUtaly5UxlatpyO/LHzPtzdDPPfT
TZdp+hJ5q09B/MDKLyPmmvTFmr5YflPEXMEOFg6kpJSIiH01MR2Xu3bRQbpPfeUjSn3q0uRqmMDH
vgH1VsSPbGjkbRSPCTtEqUSC2tCQmdbBDHUmwKQJ2F2EDsT6MEIX3L2gOYDdCGcsHpRYXiRDpYQn
2W3S5uN90q5ojCTNomVFoiYoysCfeb/jXjcFx8a4Ya0BZQ8n06qp34UNkNxd5kPVWtFY9FG5RD4M
bYG/A+EnGc1/+F6ydtcA9Uiydyg+SYW40fDROMKTeiX9wiu+hgtSpvN8ARhlWlj0R2bjUQKyye+R
QILuR5q5VCOODp544FVFg65oOKO3FCtv1mWy9MCYxjaVUZ2DFO9VWZZ37GQQ0ZNvEqSIlVOaLscs
byivKPFCUaqOJuNhyUJGKomWyc/QyICXEl4LaJkDrWNVwtr1maK2I7sokv59G6ARuIsCOt1B2o/Z
1d0iT7bzph/pDK7tLo5o/OCP7dCV1F97Xjnrrz+mlaBRn6xjfgojOGDuyFLkgJ5QGJSes6PbZWwc
d0Ozrp9b1fLwOnJwIT1kwLt/dZ7sZdXqQSc4i6MmrT1is88WPP+pcriWgpIjJvQWz6D+qxrDzOxJ
yDQg3HB6DNBK+ympXr8vQpMv4YLeQCULMkXVnC0pZi7oeF+bENcDQJoM4Cr1kx+dpO1X1uWmqJYF
Uv2qW0JtSm+FTrlG6zon1wb3+S8cntEIB+jEBOUQ2wDdN+g6VU21P35O1JoX+25eV+hlBPmcZ16D
6GFr8M5gKmdgv2pOTTkXPdrTJJ4e46kvvplIDmFlk7G/ntFtXKGCIdMVLUIV1JYvE68iRD/OZVA0
hu4KJsPvAce1VQEkwHySwoOTY8fgnFImMHWxIOyCaHIw6A40eDBmkdmFkuZFhRJlBcMlTPVYI/9T
XTeOQcluVg2YijJdYlah7nLjMvzk1O/jU5cGqquWdABbd8AT4x4W8Fm8izikmBWlWf4zC8fwExxI
fa9ssYTRhAuBdam1nyU4bVrjAJ6oB75t0SRJjZgWPZcLAsOTEhLV8Z9GgagDyNnvfhWLCb82JnFs
x+dFfdZaogGrx6z4xFuXPWdCcbKHvxa/aVYFMmAOo0xZwW4AJRRBNqUsPbCYvs4wuca/NIMk9TpH
pK2nNrC3EFQvvEZWgzt6Q4GZgcIT92+eSfyNIpaC1qqF41UFCGsOcJ8NNi+xQvzHKU7Hn3OLuxvs
IBb2VSNw+eym3HOP+OXM52UWiVcGTI7P4Tp1UykzYLillG10y1qb2V2BaBpR+yBtqXIAd9zte2gx
Pw9R3OqSGWiQt6MVLV00XSYcDBoZuzswScmdNEtrcWpI8uTHbCEHvBuSU4jLPYJIO5uScjYwnNmn
vRLPfJRZD9cNjs4BEn9IXAJxwUFjGfCyJ9n3PZzmkobXHKacz1OGjmKJ4jPilTUueaKzZ0SdGTPn
+9WLh6xEbyX64q3YIfh0NdIqn/3hlbt06Xa51wQ/BzfksoIoX6P50awQ5QQKHdxrObv+m4eXToLN
EiDWxTU59XcumyPMsGfdt6j3g6Yk6TA0W4xG5x/QxoRdiLUhenodgmO7khOHa3ka416V8ZCuXRVM
YrxCl8F1pTQwTaoaDQS34oC3nxaHoKbagK5+i5wa1QHYTqa8hHui39XzOuW0GlUGc61VYc52sDBk
sipiGvSV9Rb3O46H5BNSHr0vPdrHDyIuYHomsAwXJImk61CKQSOcUetu+gVYV/3ygZ8VOLPn6HWE
owu/QgalHx6I1uNNNK+gr0M/iFtzlTHaSGmTwqqej6J/RuE1fuo7MX9NmhCytyjg+rFpxCT2QLOy
Zz6Z4DMCTGlWagOYsISwBmUu6533nIFu8KSF3eyFZAcLj8D6hJUhiay3A34a3aw0zua6T1bDykGv
YkE/a8UkSTmhedEgZthu/dDpqkN9rO5pIIq2xEuze2L+AsvNxPZhcFxhPNXX2nh2wvbA3VdFOg1/
hg5HYD3K1XxNC9m8wNSqGHCmo6YqlzWkQ4UMt0SXwRxM4QEvFOORKrWJ648syhd6UJ7AbgQHkKrj
qJPO/FDxmLtbFOCxV7OI6OClcTbLD/ha2RynqVPrHrPE+4Pt2xQ/aJbgIoA2XDZfQe8g7h6FAxs+
x4knvZ1Aro6sVCGZvRnBl5sfoX1Opzr1NV5pUxjzeCjjdsbhXaqBLflu8EPaV0TCFfEznNkmNNNx
n/xIm2JtXqG1N2jZiMYTu8X3DfQ+upMLRJK4Rm5B64unug1llr82BM/RfTSGi9jBxmvqrlSb4s1r
YKux7tOmC/ObGA2+5Vuy5LO38/MuLPbDbOb0BwR1ClMQeA5kJYE4hZ3AIMjOhFziayLyxt4Vbeut
p9U5E56CLHGfJdaP/BRnK5x0yw5Sp/EWOTFregdWSPwCGCr0dpgkBgeq1jZCVZ7UrDipRhfzdTpP
eOkY/JrqJE0gumvjBTwvZ8ha8huZFCKsYLKZpHvaocWL63pAuQn1R8sqn6nRHlFEZAYAJTzu6wBP
K/M9DWGM9hqHiwN5Ag/b/CZDAfppGqBT2bqcApflEOD1weIBWa3CI9n0pUXt3r4oDzm8c+Xh+TJU
/TDMw2sCFXVQocEy4Y5rkRKjy9hflNmNVnvDN9crSFKDzo3FdYzXanTHufb4YXQhsejKxcK7YyFH
nC6WYhxiyZPcb4sdLPotPwkcl/ousD1Kv8ibTH5NkYldrHXegwT+yUS2c/UU0AJJ500yJNfg01C5
R4xfsh4hJ0rEQQCjEj97pESQR8UDZK+3iW6CClKXuN8LkNZhfmnwhH3m8Tg7+NK4LL2DX3ymanjJ
RWZjMqzu1zhZMP1KK1zewwxAxGQHY5g8vxLasmk3tL58krM3RAd0I0e8ZPJu5v7VSEBFvAP0HOAP
XYUs9l7kGDGlr/tivErFUFyy9vsDlIUTE1R8AC7ICD2HzWCQQwV8cPoTVULtRNs0FTbuJwCh8+nv
AMSfRsogLABgBkkY0LO3wE5Ec18Bj+xPJhjIbZCtX9eMAvCQ7vPHB4JVEYQzQLthkHoGtNM4HwIf
R/QJ7VNTNUgW2QngGbD4yy7pvs87ggAB4c4eJmA/bpEs6Vn7wNoOVbJAyGUhiuQWcpOi6vj8Woxw
uceJEu1A8vj99697j4+Bj45p3AL50K94x7pEQTXgodqfYHqS1SpqFU4OHX34x8JbCX1HFL3oF7zL
JOqQ1dbPLBNwfOSUVs4s/ApBvB7Ci2FNcAHjfD+LG5APdd8G/sByYls5/2kUtwm0Jq3Aa2zDMvMa
tvdwgpCBmo8t4g3x7JNJwGEAVLhLVrp/mEw0E+BLsKX2YE2egdOxxId1Vg2nDOcZKze3dV4uUx5e
cnB7t/i3Tif2GDyttp32TpIexOnqgyFzco1zZdyAxpE3xZZp33S7vy+Qd+g+cFMoxnBHA6jFXjv7
psSBwArHZ3dydgh/W9unVa+G9IvKkSlF21F/tBuzmYTgyAboDj0cVubbX08rxCD4au1OK5nClxA7
7RWcg/F77sH+1EPu0wXo9v1vBpaAn0Ncj6ZCAV3o2/FGhMlEiAzlJzN7UZWOWf48CiE+3E7AKKhi
oVlAqw7V+9tRUtEMK6g0iBMEZxSVpuNxXkbLSEBhLDxxyVbo/Ueh9Q4vZ7CYIDiBVOntcHayBehz
nCJZFh7HO1Io+U/e5/1HfTHQkt4sOuFftKWuQvX2dpx4BMoLOgs7LWgqVC2ZcZ+FaDn2srsUbfxu
HW4Nmc2TdjvvcUyenY1j0yxLsBh28vphqru4UC9BMM21Tmn02hT5JRL/uy22jQeoCd+GPjQESm8/
bUldvKytYqdUoqDgqzGibFLh3yy98C6A6e9+LuwtSD+h1IHbxyZteTtWG0lYX8Ds9KRianbwmvTq
LO4v5ez8aRQED6W4yjZf1/OMUgSnpTTwUSBqOCL+GJvOfYFTjfqYFTX0cXCDhkcYiARwyUHw49l9
mVhBQzMk/qkx0MqwpZhOikPjWvaiW0sGUL8tDW3XX38/p95/3WZfgWsGnS3QM5Kzc6ro8I5L6SxP
binkHhqDrBpHTi+cTn8YBdckZhCsdNBnzucQv2GkOPhwOJ34eJgtgK/Z6y6RI/4wCsonTCBOdnCD
zm8wQfHu7HIxn+LYU0g9X7IKhIK5/vuMvbsnk+3qwDDgXAK2Pj9pez51gPam+eRLm1VM8p003XXb
dtc5yLUVl/Glm/ndHt5kR1tLFdbP0MacJ22kNAb6b1EKeky5p15Oy6FordwPWROdlm4wF8qO9/OI
sBkEUiDUA0wkOGu/3VcQuS3B6gf6xOairTIvAtdOcfXhecQhgbsKRAXck6h6346CyYvguZAtJ4ji
2t8ZjdDJhHNLi5xaDQv8I1olxWMghvhSDvD2D37Tgdvqm+24QGEFd4HzpAo9N2rQyEk5xevgfvuR
HncLEeu174L+6NAQbaupY8lrgGfA4e9r5/3MbkPDgxIrHjKnf/uh/6mxlqFnbJ2pOfkFykZEA7tT
yIB6/n2Ud2fw9oHwCYftIO4ydMvezizpiAyXXpsTlQFaivBnu4kmdMFgznvpxvzTUPCmgb4JHCjk
0Gwf/J8PCvJ+dOi5m1M4RnHpWyt3LqdZJZv8UrO4+MPPhmoACxIXzJaG9HYoGHcMqPMZCNcBZ1+h
JWxHtKdSz1bwmUrFoZnW5j7IVPJNE6t55bfLcMG/7P1GROsfjCgQiDC9oIm8/RMW6XfMICL9ZAg0
AftQd6b9xn3gcVmfLO7eoDMzXdC//mnJgL2xHTVQaUPl9XbMaKHhooD0n/IYuIevIHb0lMg+vOVB
REEiAeTE2cZLOvsyB0ijURyjeGDH74ZBoifJl+e/r8t39m8ousFqxEtmuwliSPzefkuG/p6Ab4U+
kYxAmI2EIpxiTeLMegcUKlZlHy3BA+xZXICD1edN6dIUXnccSXrzPgDALQ8Nl5AnkGE0CKe0knQ7
cKUDdsmoA3/J+RlR4BbG0sZ9jIPi7V+6ehQ5t9t8YCGbJxKk8y8+aHph1v+wpLFLcRiArYii6fzh
s85ov5FhMjB0SkR6jyXdplXn257WUcNTepzi1f0fZ+e13Lixtusr6irkcAowCJRGI2mi1wlqgo2c
UwNXvx/MPhmCLLL0L5d9YNeaZjc6fOENvyYNXYiDY7ZYIVemE94rCVzZYaDBqD6gHMqNYW4iDzwj
pd3TSiGXLZ1DZinNI7Kl9ywEL59NzC6sP5Lq6CShb3m+olHqJsjQJzIg3ig6PqySqL5sc8314gY1
jw9xKET6gW50ds9l/toEObYghFA1BgS9foa/LqksBPk0h5kMbLftH6kuvrpp0b7/nBLdEGjjsISk
wvYmLHUtwgeG+eXd3BycWC32DX5Vd/bl5X2LiiyPM1fgmnldAGYkXfCommHq9QSDO4g3durZrRqa
e9uhd3CnJnAx3JoNacCAVvj4Ct49XzmjGCnXYV4UqOVYotiWkycns2acQsiB93TOLt5lBoPwSSJL
NcciLjgfDBOPESkU3Q7Sxqn/S6gnl8eh7xzxoIxc9jsoScJ+6ys1+6ojmqf7sZKquV/0UVPTiDKz
f2I4qSQ5cxQXH3kO7PplHrP6i9CMtvebIovfkrp1pTfT6W6gUPVj3T9qfZaVfkIN558RQyRnR621
+E2fLy+C3M3zb3ps0nKaIno4O0SxQP6b+jxVQYvUiknXWsmSzxTIjeQ5pMlTHloLG/PvC8Sff42l
z7VfobCKPBjKORpftdLhvW8geg87UYnEeFsKkxM3kGUAFdEIX/fDEna9b6jUSr1R2qN256teHEUW
2iAeN0g41mrj5igWwzDFWCOZgeiVL+hwGlyn41FkNbSvPDN8u27vXHTX9hE3KeVGPu/Koj//tGZi
OsvYN1ZA53BWD52dISQewZpJfH2JxneHWaDMCRERkQaZqnMsz4dLjKnNZ4AbQW46CDjUtOn7Ivx1
+zW7CAYYhCjSoOSymkBvs08ehj4e51oJRBXb/lCqHeYDtCiejCxuXpQis+6c/YtrjAENqpyojED7
QyDrfFboN7i1E49kiO5SPhshDXU0ubU7n+rqKDC8oXqvBSVjM8oUZy5kNFcJnDEbXySYry/zFN1j
pVwbBa0B5KqBNpmUHc/nQgcvrnRYo0Gsa80DxqQ46FJzubPRL7cdlHgCYBWZY4Ltrf6o5kYT+y02
A7i22l7QRvJztaThaej3nrfLCUGz+VNApZBJpLbZcjYtVw6/ZgatXBsfEipUinDvuydENZj2AIkg
8eBFdWUV+4y0fnHwJJRJ/llxMxwvTDWts98I6xhvt3f45Zy4/DF44cA6bLjtVhjB906ybZxgFUv/
Blgx+Zpn8z3JlaujkFHruo4/N8nR+VYoh6ar63BygkF1hq/NGA+Pqkjk19tz+XPmzyI6ciHQpFzJ
SEa5MNXPh9GIzQ2YyW5AqwOqFTzkPjnMKBA0PlQtbHpsfXb+7aWa/S8UzZge40jpf5YJ+goH0Az4
WVvYIqmH2z/rcoeCBCUHplBFvYy/z3/VVGDe2WBjG1iZGlsvEsBI91CYRbZ8mUGG/Ht7tCtLDfIU
bSmuRUokF7yYLhrrZpKMZiWmz3kxDxY6N7vbo1ybEywYlZKFTZK7tSwZ4qFSsrBzgymMByBfqRJI
GN8A+Ybeuz3U5UuGUiQ1KegH2OiQhp4v3xov0G7no5pGWhwdAjBvQS/llLRK6YnIVP7Vk7uH8Moq
GhSZqC+Bx14JAueDVjXeMnDNwmAASufXSl74ynDXyenyedEIx7lTACMg4LDFCcdgrHpVD8Mght75
XCVJ9gt5dgSyR/QQcTOTd56zK0tJOLnqf6u00qC5nc+qnmRomEgpBH00uJ5QoOYrkZV+Vqg57ly1
1R6raWyXOx/w2lqiu4hnKC4WcAM3H1AxuzEOpxS7sZyX2nEm5ehqyz3Sz9VRYBGjIIURmKZsLucZ
zQTDmLsw0Jf8F5oy0z5unHen0Ng44YvCY0Mviybk+iP+yjIKpbUzYnMRjNLRdouhiUOeW9mdKPnK
4SKCQheekgAUMGezYHEDO5BHTQTS0BK/1cziUOCsByCw/Pnus3U20mbRFBMBhShkJLdGzMyG7f8Y
KSZHeKicAjBNV8xeHopuf3vYqxNkx6MzSj2Cguf5Mmpl2dSxyjLmYxL+pFigdv40tM3iW1PT/nj3
YFDOLKr6FCCB42/CEKJgQw6U4wODEORFVyuggOVc7IZOMe/Ujq7sQXqbRBbUyrjtt8y9JdEXkBF2
GCSyDZHMaOCbS+u9Ov68oxS+qbLwmMIU3FYUEje11U4aIkC8HkygkoKwtQb58O5lc5kJiu6EV2s5
8/wb9SLD4npOolOod7mPCoO7L7Ble6poWLzcHuryGqTzxx1LygI3ln1/PtQwJCMgwWUOBhn/z5Dh
v26qvy1KhblJfs9u/XLrMdZq6MpGUFZW0flYWoO7VzROcwCDTweAgWY82vAOkjDuPbfky93AUKsC
Nmk1ckAX9bbESpzM1Kgk5tbkt2CddsnSv1cd80/XCoNuahIE2RewkqiuiKzmyQgKofa7yo5/9Ytr
ge+S1bvvccCplERt/ke17EK3bKoA5avkJkh1LC/Ggvtu5nbyTo3l8gPxztOBIzWhgoSk9/kHyuww
ifFD04Kwj41D3TVGgNtvicv6Yrw7DQKMQA8YUirxBd/qfCjAHKVdtFIPIGyvsh5YrKsys98dz8MB
XJm8LB3RhL0+yn+9Gbk1jhYcXivo6YXsxsH5EefWhyU1xju36uV+I/YlDYILDSsI/MP5QMjdLHpl
p3bQxep/vRklD0YmjTvB7GUIwSDrNGAZEspv+1QhdpZ5Vnd2gPJIOXp6LSB4ZNbyjTRZAGJFJgJ5
BTBs75UBXKXXVXYFl9JKptyaEk29ULO2BX4j2655iO3hTRnq8M7sLpcQnBEROkU+agrwAc+XMHRy
lLvqnlClJmdopQw90SjD8fZ9d2UUEtZVpBfsLi7B6xH4a0dwM8UF5SVc52ez3I1mVfpRB0T89iiU
KfhzztOhldTNFQ6IlEqitjlKCoSHJq6TMMh7abs7kY62+tCNavwTdYX+a9RI43dpVIo46HG/cr9R
7W+c1cnMnYFXmaBvfTsbtfyDllA4emvzWoyf12a9OIRpOOgfNDq+5T6z8zJ8JVl1rP2khGp/iBDK
ETArFH34AFagNg8OPbAYhlhBUU3VKgDkUZl10yOcnGk+Iv8xwK1yCzfbL3VkGzulb03wt0k1dCe0
OnP1yZzN3sq9tKq7bA89apiPA9Idy4M1qnm4D/PYML4YQkxfk6ktTOhIyGu91ohpGQ+lLuJpZ7ch
yFdl1otc7gY5WstDvqi5GeiSootvdkVLa2uOm+5tXopIh5XSdP+1hezaD1WV0jPU2j76MglUsnej
Ei7Rx37ScTgoINa1u4WbeAGSDTpyZzet+ZlzX0cPli40yv5IOfkZMaWxL22Q0h+lrZWvncaMP0ST
pmcHC4no5mGwjWXau0kukVvRcsMNRgMRqHSHbn4+e1UpEM1R0xn9FbyQhy9jMs7/S+seDR2xDLnp
j6lq5m9YZwJrbSp9ghckLSvqvBycGa5WSLvKh9HQeYh4uQCN2MmCOSN0l7GBcKNqWvEKESt2P8TQ
+Qq6EaqQz5QuY/v33Agl/9HVUsaPao8S6NHAuUr5rtkL3JYeuzpxmjXLbjxYkTBn4M+ZaXyYJvw6
H+j4NqeG+ug3s6uwci4bE8E1yFSiALNiSGe39JM6HNIS75LdhMCXPKrGABa/aGidnFLTKJqTXQHT
3JloxzR+NchePBgJqg27GARReUxzgr2T0FTJC2jwWZ5Ived/h9kctGdbqpB+BKiWH61itg71AdNq
H5a6Lfu9XXYREj5aWo9op+jLaxKGluMD9I2TZ2Ok4PBkLp06nIjJh/RopSgI7WKQMGgFTYqcTehX
EjmDuTZKhN9mIWu0wZqse5SFzEJ/Lowe3YhKWwq/HUIReUOnp3InrdSE0mGKfvSWpkOyprasGEZB
nQ/5qQvFKL2kzvT2QW9BT+0yZJW7PW9KPrNXaqXxCdp78PFiTKPxzXYlnzcCfyf9OXEc+ei21qwf
MIGNDFTThqnfT/EYjccqMuFPeKXbaeMLbtEN5kRTqIi9q4P0+h5idto9uWPmfI/7VPmEDJvr+klY
x+VThMVx6Sk5eqVer8OC8rOlZT+tmnKF71ijCL0lgojgj1WsNr4gawspAlsy9XGcjmbfyqEBEKwY
ifTgkLsYNVKU+VjOIv2kqbX4hDt8mr5EmImpX9ppKeSLyn5BXDqzAQNbTSZtr8yarvgHrm037Eag
amJnTDmw3caKnGGAPWnmc+vLEKEuLyk0ORxjfXK+m3Y4VcdEGnhEqykd7599jL0nuGkoWS11w8l4
y/s4/99g1mp9HFt9zkFKK+NXYMdp9jbbYOA+2nACpoeOokf7GQEkvn/SudXXRoyRuoMX5AIbV6e8
h98QRx/TflmUg4uk2g8shvPwg4p7ZLxPOcfy5zyqE8ZsJcf9cUQzFt4qxL/uaejnAQg3GNXKB9ef
j8fVpdTa952pTh6nhCWEixO7/3ANh9kRxtnQev1qGPkw26HRP4Sx7XYHN3cAlja2FeX/0dmoHb+f
hkhDu3BBMFJMropEHYXA5cnuKyt/TRoLilc1T632aokpWo5DNCrTQc+07tsS2v30MYJM0+wTpc7r
3cin7GBqzmq7L8Z6kc9JFoVQC1uhAwzLor5T8BMZhLEbJlGi2me2lfHEUxtCVyloSx5ic8rkCSsF
o37MZddPQYEAl/joDnVmeG082dpTNkzQWDrdlV3gLKE2PxF0m/qvUDMxSZf6qL+ZTePaX7LaEeW3
kJqm8knN4yEL8kFJOi9epLkcC63sntMFKvbBSiHCfsHorTMbv29mU+yscJwn3nwZwkVmm6D5h3qk
A8kIpZl6p0AKKmAkOK1YJa2G6FDWKBMfiibMJl92oteeMTZZloMz1XXl93U0s7EWOIpHpx4s/C7z
ubO+c2P11c8FdVph+5WSl7CL6rAcD3TF+s+2mI3ZH2ontE+doF3A9RAtccABV1+txaqU/SDbXntw
W9UWP+AK5e0hTqlBHugq5KruTZmI4pdkRmMXQHtt5jSaDLEcpEmmjdwcST8iZNHyT2xCh+48bQ5F
tjNb7k24AmXVfHTp33Yn4Oz6R3gldflTkW0U7mAbkdhica7+S/uKtKnPnKV6ABDW4DfWJ6CJodaV
5m8jiWi+ob9Rtbucu5mWKcx1s2OdFz3/l9enGT+4whGuN7cFhhKiSFXc2g27F49dmkLjc2f6K3uz
QvrOQ5K0Dz36fyZFEUwpCTFNsdi+W83a59osWrTfugoy17I49nOkdFYazPaSpvslNwTi7IXS1XuF
t1M5Wu5MXJNWitF5EV9pCqAp6qbP/8nJXwQyt/PBkZQ0d1YTuxjXLXHNSZLqcDTSSXxtE4wxXuw5
UxVvThb9ex9FffKaCqfhWC4Is3CbIS3W/WgEul+xxx4px0/LKGz3k4u4A2whuof63slbmhXIyKO3
huSlVR0XWJ3fMIMyoE/xI0Oe+9jW8WyMhIYy9CxWj68yl1/QwQOAw/27PCEfaijBXKeJ2PWwxLrf
yZRUke+2Y/kDDlSI+iwwrJ8SgtPPCX7Ksl/SFSQ02YPGfRzB/oHup7XZIUEu/Df+oonca5Bo0jcz
xr78qYiKRiM4HGut8vIJJsZuTf7wlijnKvmayjRrv5bIZ0KL1UZkGSS6NNCfJ316odeYwsaZ5SI+
zZYGq8KLece+mIDQmzdJwt/sCnq0KdS4dn7O7LjP90M2d9WHaRyj4YMtlFE+QFtUnmA04N4W232a
s8yifeuUwaBDnEL7OVZdF9q+A7JA8eHmQgYhuuQXQRIvXyPEFqtXBRtl6+gY0vyFhDm7bejiMv4Y
xpXEsU0gQ/ZEKWxcHomOl/ahDrVEPudO2pY+utmzfQyVQR1+2qjXvRTLqlOJXZI1HatFTcYXfeyL
/5zO6dSgNXr1qxhdY/jlhmGj7UvsXeZPDv+q8aY2jeZvcyGg9udTnRwbgtNARcXB9FElMSdit5S7
sh7qQR76YkGkotMqiiRe09ct3j+1g0rmSUfUE3BFA63FBy0d8tjqYZXsO0XonyOH+uJBln0MdGBp
DExuEGV0bK8QBgzOwXBSrmxXVL2vO1Ef/6PHk6N/cmKzr792PZshQE4ONyOTfy92UbdqOnhgXMbi
yWrzokZYMC2oTbJZzdfIGGz1uWLDNZ+dqNaGfROWwjiW3PbAMKzZPJAV6kgKZNBeHssCUioeNkYy
PmZGmzlPUIXG6mHlE9X/5lYT5vuud4TFfs5hSo52gY5xjqxmf4R8B/QS5weZe92gaeUB/LCtfdRE
I8J9mcQhaoHIKyrDU43Em5J5UokKxCpklIj/cifM+kPRy4XmkIAieUghQBhI7SYLpydSVnVDWkwo
YDVcaZUvUxk+D3VjfIqaDsab2Say+4DvbWkFkcD1148UUXxDcY8Nl7dupRzCEEqkN8L1qI5THQ7y
Yx5HdoE2JhU9dFxGo8tfTVvCi/N6S66K7yV0hSe3yNrldTatnu0mpDZ+K5QSVckUXmPsh1G6uB5E
u0zxqsrGmCvmKbRW39DoRz1NYekTtwEfDhc33k0615A3qz1hF4+bdc8yZ63PnieWLgV90ldyS/Ll
be89LIvULELXpQKpR8fERUZV9pb+YdaR3kD74LVqYsQqRDF3SM0a77W5oVUCdp+aCsWUleG0KXRE
fT9Wtd6GAZCRwqsckTzDLsEyD7f059tJ9J/a42aq6LfQMKHDjFjUVqxPOOlkN8INgxYl29STjux/
RtAwPlUQcm2v1+rsR5XFy+QVvDFvbhYprr9kIvl1+4dcWXJqYio1JMtcG26bOaNpqVQAA0WA1Gzl
STtrDnz0/oC2TXuALj0Eblzg/ZB08Q7G59vt0dc/fbMKoJMpwaAWh0PdlsyA7HHDw5pHJ07Y0hz6
drFhWhLSfFvQFUXIp4CWda9+sR2TdAZM9MriAaFwgclXxCQN7t0wgDtOxmeHzWFxeuPZmBFz6BV1
vlOVuYAmMR6VdUBJOBYqYC/4PX9VZVTSf047u6pM6EyoZm386nMu1FTKbodtXfiBAH38J7X6e0JM
FyXPdWRHpbO/SgxSAT8fOcWCq6NgQp0mrTI/i8X8EfI6Qs5Iu/1z+0NelO/WoehR0EalEUhD7nyo
jp7xVE50AEFkzt/h4ReHsbWaQ4FQyjHuSd8AiKH/cXvUa0vLF6SRStmdZsJm87aESr0jaTNFavYt
d+kvpbF8VIfhl16RzEKO9TILCYzbo15ZVmg3VMTxc0KMcltm6wYlF2RWImjsXt33YU0cmNvSC3EB
+L8MRQ+JuuiqpbhtF08prN3anERg16GzR4Wm92ZI1dQTonvqoRdFPRs0KeVkVwGxwfW7KR5awjZy
IQb0uZsR9eoR7Xd9Uco7h+HaKBSTqYxDa6MOtNknolKKkmPCF6Mksishgflgke51FK7sxtUIEnQa
vsirP875bkTRKJWag4NvUor0S482w5tkJfVTa+AdK6bJoSSDgq/2cHtnXNmPK02FpokDjodL7Xxc
dakXQHxRelIwf4NH2uSndJCoqJgGAphln+4jqU5vWdw3d87f5Z6ktrzielyYg4DqN61dcAtWO1MH
OSFqLf02i+WXgdzbp2B0D+R1iYbhjNMRQqoPeOd6tZ3PMhQzQnYyK09642KLioVpJn9EsouS50xp
e6qufa+apxicu/mgUiv+PJPwdIfGCXtUOiwdlQg2otJ/vb36V9ZAszmY7CpOJoCY899l6WunClHp
U6tg9kFXa4y8jlYkeS5h4+H2YJdbjIsOtAMdqxX3cHFcuklX6Kdnp2XSEX7pxtb1BrRMHiWERERX
dCUunuu0COc7e+zyBGlUOiGI0qEFtbfd2zHpcttim3gq60asmh3kBUQt7754GMWlZKnREIaDuk7/
r0dLz1IkVJw0PyGNIL5kZRLu9XkZcFwI7108l4dmxfFx6A1WcwX3nw/VYR4MIZmipFnVyiktU+NY
ozTDDbE06P0kyPHlsLIpYbz7LmJgSoQYktF1YidvBs61DmZ5kZ+0VAx7VKomr87n8L19R5tRUHUD
TkrYgb/4+Sj2aCLVgcDQCYkI67deIGrp6EvzPXSG/r0gzz9DQRBdCV9EsNr5UAp5CweXoUK31Qhq
6DQ4Tvb79sZfV+UsZGMQ/nzFgS+MC80WcuegINW2zsLnynLnBRVhbdkBXKAsnGVAcmunMu9RXq9t
eZIBwDHgVrhY1//+12bsOtXq5inPT4Vcin+mIV8e7RRJnPdPDBzH2oOkhe9uoyUaWmpTlUl+qkfF
PmBFQuozz/yjI/I2xkx5/3jsCdCYVLEAF20P8tw6tVMkcXFKElwMlyX/2tHr9PpsDFw1/e/25K4c
MgBnCnudR3H1mj5fQnOwhh7RPLaGsytsWR0rI/+kxaQ5ta6F+9GpZ6pqzZ1b5MqHA7SNMgDtJ/y6
9c1LMbtRX2ZoJp0yUTjf65HLkF0p74WBlxf/mrPBDYINA9JjG2E3apdmq8rZSc/gwI7U8g9xqWeP
nb3cJfSuj8hm+xMjE1M4K4bF2ZIoloWyjjKH9alBJGfxCkRre08xkY2nwm/jUjLRZvistHn3Agaz
/TE19SgDJYxwbODmTrsdFJD5U5khGuYlU+TqD/Pg6vljm3W69uCYi8BbhqhT7DCgKIa9nfTZtBsW
2gon3tF6FQnniB0yEmjb8RR0lJcjr9Fq5T0Off8zdtw+RWyWD+JnYEXmPXUFRCszvamiU1X2ke3T
HiywKEzUeN4jRUGejZIxEoBU08PsQYA8UX0TZq8DxnMhoEAqqq0eIQJXd/LgKzvE5XZQSLhR4UXN
9Xxfhk5nsEfS8mTSp/mO8p98xa7mnlvpn2x689Xo79N3XxFHaFSsx+OvG0Rl5zn50JcnVKj0+hHN
Bsf9hl0J3dlsodTuKRqioycagrTp+riZ+ict0aNiB999TnaVNer/oknZTkcnbOuG+uws4/0S1cVP
AZPWDJoUSP8//ajEvT9QgI2C2+f3yhaH7g97Z31FALhtzm+BBmlI7a08CZGJ7zl7cATTpqj72RLm
u6UuIPGRVoFO4W/cETdPFmZW1qySrZ4wYBweeplG+8TW6wMdMXFnXpffn+sIrWByN9JGUHTnH8bu
0PLRKcRxQyyWvkfDd9CRIyqm+HB7AS+fLSpLVHcYjAT1AuZhp26qOglX0UJc3Pt1nmOLkOi6l4VY
NVH7pIFxe8TLT8b1TjxOYPPnqdyEoxUSgW02W/mp4pz5KDRVHDsaadiFq/7toS5v9xWaDfwM4AfY
ve0qIg5btKExFye1KdqdNn8o69LHbIfi4FpOxoq0WGVAwzvX+7U1dVdenALIiZh0XYG/TlWOW0uE
E0hxipIs9eLR2SVWbvhqY3wbuefvvJdXtooG/B4pcpsEEnz5+WjliiguE6c4ESrEu6LT40cjzt9N
+6D4aFnrEETZEHQ2B21BjEtFf6w+IZ6D/5RGtRV4C8qpfM47X+3KhFaZ7BWCDi+P7Pt8QsMYIYEs
hvo0FlK+JLYbPYQZFiu398aVjwT+kT8dOBoe11tglYPsN/Syoj519aFXRxatTCfPkLR1dHFnQ1yZ
Ea+8Yq84pxVmt8kaZEyoViGzd4qoBh0a8BaHeM7nT7dndJl6rdQpUi6WjQBqy8aYdN7VMLVYt5kM
l9A+o5Wl5nDfzAqnM6lMtZ/hV7TcWckrBxriP+8g8EEYLVscXGc3Q4lubH1q81Y5SGDBnlkId4ep
wLtB5zxV0I5As6zZJQj3862hp0o0OF1YneJ0Wna12fS7tBnvBTNXJsS5JeAlmaQIu62+LjFwi6XV
6tPSg0Eqosb5VACgP+pDar07C+LhVUH3kZjDB9p6rY8I8OI9UjcnRK27PRGN6xdNavizirXi7e1x
ZROick8RAJEcBLa2NbMVQz2kY9WcdCQNDRDurnD3s94M96pM1wbicVzltXDlQAPl/CNJmYwpguXN
CQfIFKmLCZqYEPcy8WujuKCYebdgwAPFPR8lz2djdHu041CCVT7GYtEcdB2BtN1Ztst7An4gJEvw
ieudtOX3VF2BcKvUhpMbppH9oMsZpedE6aNpPwsXZb1ktpt7Yc3l5Aj6eEFwfUDKiLTrfHLYd9Jd
navh1HVufhqJFWj0VFWS3QkzLnf66syKoQ8ZOND27dFtnb7tCqkMJwSxmwNF+sGDU9b5kMfvVYev
TYn42LJd/gIXsf6Uvx7FTrMGKuHWAMghTg+jrkm0VsQ97svVCVnrew9ZhIdqs3Cw0Wzgj9F4ytWp
+CBskAYozpo6TgQCbvftE3V54ZLDmav1Eu4RKPFsbqNRN9OuBUx0Gq2uzHZTNLn2Qe8EyYNp50Ny
ovyuucc5L6KX949MZgDznm4gj+S6af9azMWwsKFpFvGQNXpp+SX6s+XRqFxwLPMM1ump7fGB22mW
HMvD7aEvY6q1jMKGo7mA0stWxUE1+thxkqwNEJ5oPbvUly9qbCKkuyjRw0KD/qW19NYH7xfeWe7L
HcTLiSwhB8OABrdlsbR60zWyyLpgEI1xTOuOl01L7uGeL887a8rNtT5pa46+uVekVOseZGcXZEry
aUwLfGuL+rsTV/9aZhc+3F7My+0Ko2QFoa4+9dSONoOpiQGcSbFQBWoTpLeXaD5k5BWoeKj3cP5/
yGbnud461oqLp54IY2uzZ6JEK0PDiJHoaaLO3jUxmJAdqtCDspN1YmQr1BPMwArpWXYYMSpPNCDG
4dPq/4f9JxBCtfeMWOoh3pmy7xHQBlp3SMREg3SM9NU7c2pGcFmpHf24vU5/Lrztjwc/QEGZFIVa
9uZcT5GWTmpT10GXp0sM1rQt9BdDR0Bhn+elUyce5fY89idZ5fYphPmZ+nmnj90uaWQGrDodCbyX
eu7GAz7UUbTPeqomuSejQnUea6XVjfq1QHla+2bEIB2OonXSnyZfZ/GymNsTpxMy8F2ax6rqgXRK
zWeAENg4TlSz81cNo4lxF8HtRVIMvFuK8UeU199vr8O1/UKQb/IhFXpsWxelbiwVwCVGBlMNmIsy
59+IFkzPruv3x0D2Wn/DvpuonyLV5hFHMzfRJwDOwbgWb/rJGI8YDE9YYkbL/vakLs+1jXoBcmmI
cTK3bU296VyXty0sg4qH+APooGKXa3b+7tuDkG5t6SNsR760JV6TrHS17eC7PEgl36E1Gj5odaHe
qZ1f+UBQWOnaU74kfdmKshUCcJUZD03QmHH+vVW1Jd2h4Z4dTa2q8juB95WFoyO5dlnWhgTqYuev
wLiopT6rcYOUqfN9hVAGI6/8na9zeR/CeFrfGFIKervbOj0o8soEddIG2ChNDwjbLgsy3V2fBEqU
Gb9DSwzNHVrf5SIiTMnjQlRMZHxBuIMhiRB0zRMT52n8WbbGhEClcAeMvIkspzuf7MoE11cFzQ6k
AskINztdn5qG2HFVggNVMnqZaTUtuEEU1A/RbMQG2POZVvbtPX9tig4tckAeBEUXJGtNzG7TY00T
1GVdv0DcGN/yymmeUvw77sQKl7sEUh1vDLwXKtxcG+e7JDeKGm+PpQ8MjLJVry0yB4pc287Z4fac
LgfCRRFiNcAK1KguYEJCxeStwLsVzkOvelLPQJ9Gev3u/cgoKBKicwE6yNj2kp0iosBsGn2AXcyP
yGyOaiGfp7qHbzMo7y/Ur3ExQTgVD0LX7aXRYJermLHo4ZL1+fcBbPUebPB0J3G/3AyMQpOahjwy
jtQYz78Q+k5AUpVmCKZSlo/oodmeE1lyhSTey9WvfCMKpcyJOJzTvO1S2QrGP9QJpmCqM+EDz8Dk
ewXjv3sn0AXnQgc4QT1iC56SoqT3YVDfR+8M2xS8Qj8KdVnuBE8Xc1nbeevlhNTJ+ok2y5ZCZbLH
GPB6hSfAc6+sXvZd5dy5jC6uB4ipHBpgQrQpVoLp+ccx8sRNtGGagky3qZ8MqrLHYwwHE5Enxwkz
eu/22l0dD90FUgo6YPo2vlYURL101GIC7MfcNyrs076aZP171OLsKNQQ1sztAS8CeiaIYMZKWFsD
RHtz/7Uix6HA1afAbGZjn0Txg1yS73JSj6SgH9VQe1oK4154cX1QTpbGVlwHP19V9OYbpV4svp2i
fHftxafB2HpdjSlMHCelZ/fdx6mY7oSR6jqXszBynStFA7IH0ENEAufDYpqWdlpbyaCNAO+PqrJb
RrCdXaFlj2EvxBumKONnWZYJyM6iNd6sxjB+y9D8cnvNLzJHfgdZ4/+v8K9Sz+e/I0/nBmy2JYOo
NCwEdoemeBW0lyO/D9VypTiV4hVaLtnH7YGv7S7EPf4Q8ykS2pszo8qB8pDmymAYxhknLutnA/i2
xV3S66vof7cHu7jXmKVL7EjNifuTxO18ltTcrWlIkHaMKcN/HHCWANcvrO9haP5+90jkogCoYKxy
72z1Y6ewx/NwQflT4ttwwksHKtug5oEcNWt/e6jLW4eRUEjh7UEomfrT+aQW5GLzOoM87wJs/2YP
dvYjaxvzzg16ZenoolKS44peFYQ3SxerGsYeZaoE2KWmL2Wd249FIcIXbeyKO/HB5VAamSdYWyiy
9NG21U4Sz1wvO0UGTmpP+zRsp53UYBjFSfVuxjTF2z8CNuQTPODbLI7ytGpL+ENBNTbjJzsPx2+E
esmdgO7ycPGY8o2ozaBLSMH9/AvVk5IkTRbNgbo0s681TvolSlbZt1EXB3VIQHEDgbrzGF1bRbCe
f5SH0AbfWjPA53NmaRRzkESAH12YSF9HVt0TVbR8ee8OpCOI8OLa0QfvtC3+RNncdiocuCChBf6Q
92BmEQiXu9ujXJ2QQ7CwaqkjgbFZRXX4I9ajzgHyz59n5P/2oNogveIUcmekyxMF4hGVVOBpxNnc
zOffK9Fy245nfQ4y2S44b7mhp/ewwm7P5/LmI0gAnYcJKzH+Beh3wUFWWm65BLS8P1V9HfR0Pr1y
bv6r0TL8vwzG0V1Rv0xry2tvc7VyQohpgTs4M2IX9mJ/NoAAw3eCK3pyCfa0O52Eq/PjKV1jlT/u
8+eruLIprXKclkA6UPz82mql3yhQXRpX64BylfOdOV5uEEOlmQVknI/GPtl8NkTwnXkG7RE4YdkG
Kjrhh8F1MR1r3fkOgOvqUGDEAFahZkmx/3xuU4f/qrPMZrDS+I9kLv9hJCj33FDtnUld7kUmhdqL
vXIe1ibG+UhdNYeh0yDjqNkiOSTlYKDdRIX19l68Mp8VPrDWCWjVoW10Pkoyl6M6GJVDgovr0Vi0
4odRwDvC6NL8dnuoy23BopH9gTdy6JpttY2yfOjMokTdrjZMsGhDAXE81/8fZ+e1GzeyreEnIsAc
bskOaio5ybJ9QzgNq5hzevr9URcHbraghg5mY3uAAVxdxQor/MGI9xquUThTesrT2wO+soKIRqz+
xgii0XLeRBiNsXjYNJj2aVES5z5ewDB0izle2e2vjeJyaXC7Oy/f63wFrQZqISZSzsno3IJb1iuK
H2qaZldu9VeGoVi6brp17eirng8jGzclGjXd05zJeK/0GYbH9KLfv+nWi3YVXaNiBDrifJSk8Doc
LNPopEnM69O89vY9IdyVTffKXLhfV28dCuiMs/kwZaGJ1RPPJfWbxR8rX9xHNY3TK0f19VHY3Dr3
Hs/G5gDViWi0zkpdLJDn7t7JSm8Xo4N95fO/coDWEAL8CIkzZbZNOTieks6Bk+meVATUkMOrtXsE
STE3ndJrwq4vD915zkB5jWeQsoNKcLmVFbKLpFLiHGEIjUwobu8Qv/S72gFCAl67d7WvmQMpOvdV
vHGHpNyxLgF6D1h0JAhwzp8F7nbK/HV2v6hzG+TivlPgf9j5F6E8R3Vy43gY19XG9KNR/rx9FC/P
PoHjemlSQSB93b5CvRMnPc4KEd8CJKWRVTIcKz0OjMpECzwarnkqXH57xmNvvVTTOP6bkIE0VRnm
BAZRabgTlkdFuaMzdQ3Us+7T8+8ByJ7CIHUFKmiUjM9PCzYvHfSdBanAthpORGR0HCS8dh+ms/cB
7FkaGl1T32GIVzyTZY1X1OJeWVVG5rBSel3ZWZsdDuy1tLECiEO6C+KEvgZGxVgv7ojXJE9Sck3n
95ISR9XaYv/B2FgbN1vBaLWVuoMmXBymrpin/zQXO+K7uAAVG1gYLfbHdEUs3Cy8NMpuhqn5x7Ly
FdgizMzdv3tLAQtf68Bkj7z9m8nLPoFjXWYixA1V3Q3mqIdaosAaQWkWH0Rv9/Zw647ZfGuuRDqN
9N9pPG+hBA0KeXRuRHOCcy/3ndaYp2ka9VuvTuobgKHJjWsv49e3B738wOiZQ70jWaEBQln4fINh
Mugkne11JxxIG469RIwYIqIjnRO2WijZpeXSXmtccxNfzJUczFg5Miti7cIoKRKrNjJd1FPc9q4S
SMSyh6Bp2rHdv5AR7oahXJ5czaidIB/VOvm2eF1v7214go/dQN0aNSgV79BCYLSQch+JKM25gYC5
ULyq4B6nEpXqAKpdbj3JpYpKv48JeB40fTAa3+7hDZ3qtjfTj82clcq3QqF1QS97svrVf7vElQ1j
82Y3WrIvf2dTHzs0A0Qbk9FVfV7uRASr9vOs4/ONS6pCPdbJ2iHfq6MremxlUeI+WLCnnpSxc5tv
lhRpuseJwPH2dt2r7tGeViUP5ASaPw30XXmoYwiLt2k0DAk/04FJpg6eA90rmnTcGA3tGToIdoko
3vSfZDr2PUaFZYtr7pBkWhqA71nKoy47Vf2umNqo3GjVsrRImirV8FU3yRRTP4ozT91XbZRqz8no
udODqMkj/mDpnCIfkMfzlP43GlEj7vQWpZjbeOmRRc20rBkDXdrIdMghi78maSK0Y5ovuQjcrAae
RCXHTtVboZYuHdMpmZOJsVMUnJz95GbSODip41SnfnAm8TlVyzgWGKW6KZ4F2KI2kMkJnnywd9r4
6HmZzlHwprQOpkHCIGyo5upHL6kc54Zpp31gdKqsPkRLl+qrzGjRPvd1pnhIUehLdYNfUPS3Vrol
f4ayH/+10SQRe4mCe3xfVZobVYFRRHC9xzaD2J/1JVoWLYUqpKH6sq39QfaWuo9oBmNKXXaGiSJK
q6pPLUFu9wU4Sax9nqkty0+ghbvhZFhzi7ASYtf4j/clEjAiyZ1+L8GG1h+GLB1+LAYa0ve8YYMX
CFSB4l2iZt5CQ3dE6wq73KjZ9RliHPvWKhJ5xGizn25ntAksdB+KuTrwqdljhs7dd2MsZWPvmnSy
RZg6SToeVNbewe1byZ0ftLK9+G89aX2y00bLq6G3ZA0c0ELNy8e6laLcLe5Y5zd15bTpnSpU/Tv2
9nb60Oh4M5/Kbqphj7QCJ+5eII78UIsa3j5yMVkXlJGifRrM2W3uZILySJCN+mA96Hx22oAdagx3
jp7Y9+hD4TpdY+LZ3sX0PrUDEoKD82mGhieeJPbv2aP0ALnswAbV3bc6nvMHFNgRK8lZqO5YOlqs
hGJI4HqjqmJrXwu3cX+kyI2gqZwjcfagqMAkDoLGyHxMG3tGU0V3I131i8TIx71h8npqpx5jUeOp
6Rshv4yWMmuPVlQhQprCAsSDtUKoTyo+nkizjhcpVjSHycMx3acsVUfh5CAaFSwSrez7UhnrZ0mN
KjL8yMiT+yrV2rtpLAcEwnM8eo9O0xmW4rtQ/b7Ryo+mEg5J5g2Zj2QZV94OfSURfyIBiyUewDKt
vJ0ZK057aHFXbcvVsVRh1kqcRgcDlJn6MGfczn4U5X10mqmNP4OWdyWyVJ71lUAblX8AjyO6Q2LQ
7QCesUKdU9Sut5uoV9a7SUFKCy2UvJk5jmk/YYvilSiyOTMuYRq+txhCuxZm2109OicXm17vdlRF
9dcQbPPbFPWx8mdNCc89KQZurN+sOU3+6MKUyTd4P1Fz22rT8BtGnItvMsJRnj+qleoGihsP5m6x
4tk9Djz6SignbIweVG+KjZOo+bafrAG/g6OSGE7uF1pci+d4sqjM4fnZTLsGTYwaoRyjM09qits9
UDunyO9VHswZL5DRWiCxdBJNVFF2YzBWcbXsnH5yzUexyPE3GMrheRi7Vn0Ycjd1kWJDotEvZDEP
/739pL4Sw6B+v5aW2bSAhrbgwzphm4tyMWDNJ+oePta0UxazuMcbSJwM1FWPaEiZ+AsNzf1g1ki/
uEi0vf0jXpDQ59EEdAoLTD2XC7WgbSQPiq6pS2Eap7SL8Y6cljjN98QzcKfGAX/hmc9p39Z9C/1n
zMmgvhha7VRftVyZP3AZFfWukEuPxIexNFjC4yie4sZd606RiD120Znh+BzMog9dt+2RkQAJ0/7R
U87qOBVuf4jadlD2IGkmjLghb5kHdoD3da6NhkfdSQBz+VPfdmVQ9Ui3HRpYDXqBshV9tMbXJxOn
b9+OB+d3PmrR8mjSmh/fG+KteoxwHAF8v/gAbkI8BdE8uQyFDAskx41A4flvfM6vcI9zV6F81ttT
pp7e/jYXqQODrgQ9INkkwrRnzmOuGHjdggqTDNtYG/aLgodzWXJz/T9GATUHRw86N1Xi81Hqai6W
xTFk6GRivHMbSpmp1VpX5nIRtILGIFtcewNArUgVzkcZB8wGTac0CeR0iwgADgxW0Xp2ZyVKGxK0
eif2+jXfo8sVXEddAYFYCNB03aTEg0ddAq0u81QjBFeiHoTXig/RYrpSRnhtdjAckWygRUkHZP3v
/0APU4OSEZ4s1gkgSD/seU97+WnA+dgI9KqcwdcYWTfcDrWhdFeygYvAHCEF1COZInkXx28zRatG
pYzdiBTMIn/3+XjXNMMvL3X+EyK65nv4+lhrWQaGFxIg63//Z5p1MVtVT/P51MBbQ0QpitqjXFQP
BwoDBQAq1d/euzeZHAJqK7eC1u8WcIUo3GzpCpMb864KvNXvHOnB+sodaL6yTVZOBbZR3IUrwex8
XmMjnagsdO9U2jB79xC+TN0vdIBlgWUhVhfM6DI2txZqm9nOLduFNz2boeRhqqXc1lLq4qaVVmzu
RCYsCX3Ow5F8by31NOwipynmW9OuJRJXiTO4J2v1QLMDPcoRVFOy1pVfO46mfdCRqnxC/G2E9qvG
7RIQrRjtk4asVvfkySmOjhUt4h5T+SFuT1aZyg55Q9tJdznYUiJmEj90aHDAQRqxiV01AHKVd/ye
TJnDSlsg3WZTrVQ3ViSTZY92XvRc2Uo2+F7vTfK9NTzwXitQBLAAABiQS+frmghhYg2vIh+K6JEM
bPThYPMjuXkFjnD5/RiH2sNaLgScukXzxJOm97WOurpmt8nJ66zsFsW18to24deevZTrbAADUPYk
DkI1/nw2BikABAQEh5BonW4y4crANPpr53l9SS5GQWJ4reNSYNtaA9dNI8j52YsgkornGpHevSmj
7mNpeOLKnXy5bGvcsXJTqeauQNLzCU2sWYd6mwgro8iedH2op4MjUeG98niun/l8SlBQddSL0EFR
QXetv+Ofa2M2x14vRyUJF7o0+CVqkC12hI3QiNvGXGa/geuGS5aj9LafpXl3hTe6fpjz8V8o+ysA
kc1Bm/B8fMPC7btoKPnhCjgFKOeid+zIG9fon9xsuPaeXn5A3I+pkKhEVVRKtuVxSKFt0RdI+ER1
/VNTs/FQwBLyFws0+ntvx9UlkpCEtvsqRrV5ue0Yi2A6uUT5maTUlud/rWJ8N2yJvxnGLcV++hMA
2Tbvi2OXUm+kolDUk6Q1w0QAXQ/vprcxyks1GZcVm0La5qboE8etnWyOw7iYsl/ACcpwsrJrGkeX
G55iP8Ugx0OHmhLIZpQEnAUJuxOHappRpy7KyDuJ1r7mpPnKDlj1ybmOaC8RUm+Gieemb9M5F6FS
CPOjtRjGCbOtKXQHqe/e3gKvDYUSF5VXqoErMOJ8aydd1i9F64oQedExUGmxHxCyTR6QnKmu7LaX
jXt+jNyVOW+uBxli1AuO6J9j3BgtOo4arNgxKc1h13tmNfhNUXHlZlZPcRu4cpP9bAot0Wxf01Bk
9KesgzhoiRk138VyRXbXgTrIbuslltrBXgq45gUeMPrJGNNBXKlKv/K9+bmcRtTHuea2uQ1A47Lr
Ki0Je5Ma4o1GXdq46ZeGtPPtz3A50BqlAHDQgdnwEm2+uG3mS9OkcRY2bluSI+TpB8uT1wysLu+x
dfnpuJGG0HjZ5gNpauK6gRZD2Gdq/IBg5OqX3A4I22owa9EwjeorN/dr8wJNiJQGOFmaJZvDb2Ki
mmChCmm3X5DlQoJX7mWUmO+/ZDywlyvOmE0M2n2zfk2C96whHZj91OdDqn8naAX1lWfg8qzQF4G+
soaUOsJVm/e78WpHK82+DPWJ5Dpo3ClB8qvX+48q+NlrPm3ryTs/LauqCncMoatDe0s/P5mps8y9
7OAGu+VsPlSwERYq5b2SoxbSILiogabOfokxLybQfROlKO5ztA3evTHXhIscATvpFdJ0/iscJWrJ
GSjYO60d+9aSKXdobCpf3j0KLxHoAPBSaxS9rvw/N8NUyjqPbCs61XGq3UM66XycBfIr32+Nwv9d
0bXXiCQNxHUeJOAImxWN3ErNoxEGOcIWfX304FXNN3GuDqmP4uwy3ggXWVS/tCK8et+e4LpMm6HX
nUOhhuwAKsNm66h27GCb5kCxdRIXmdhJo+au6WOHGr8jGl/wWGn+KHuVIJt+65Xht8eQmVuQsaEI
UgqAwLfJTyZ3HOY8z8uwy0sl6PRxCnR1jq90qV9ZX24wdb1YXnB866/45yuSHMdYqSxlmM1a9R2F
5KIIiq4d9pNFGoO+sxbMibS/v3dpQT2v2EFiM66arVjFNCM0rWlFE0I1/5s0c/VJy/Npr65d4Ghx
kiPgoDHoWtv9/PbAl4uKhiQoQrYUGh/0ts6nO6oYOqCe0YTS8HD9gTj4UHelfmXTbu/sdVo06TA3
XMsQ5Mzno1TKtDiFWbUhTm7dSbg05vpOGw+Jno3BbBrJ8b2zMmiXecTzIEAQ8NnMqs+QLwMZXoSt
Snnd6gYQ85Rjr8zq8jxAwIULtYafzGwLzkCj2nWF6tZh3HZR5+sWRdygtu2p3DmZFgzqjVzmpjk1
vXrNSevllTs/iyv/nGYgKSXQqa2oTlVZSY8ASBNG/aLHd/zbLyfO4oO5CsrvNHDZiIC19VrcbQq9
9e3Um6ubpIsnO0yWqksDEmNN94Fi4EvBDEmAEg+C316Z3SU5ePbcZ/fLWoWOffibgzjkPSo3D5qs
5v+WbjZ/E/0PJQV8N0HnN46m5NQYmeUEqqVQyEUAtmn3DbajGVRyTUbHaKp7rBviTn3qqJFTXK9y
tJXAanaTj2h1OQaK6kaxP2FN7ARjlBv27RxlXnS/jJ1dHLhRZytorXHOfC6ppL3pk87SUIEvdJSd
4X03XybUuL0HL8J8x5e9Tmeva+R/hjE54m9pLN3y1VBMkdyAG6tqmnV4UaKYJobPVW40RTgpiMLv
8rjyzNuxnNRoZ9TxFJ1Uc8BAwMVrerijFWE8TZHHupU5FYod0gsGnQwlQwlWqWzrG0jXog2nthi+
ma1R/dFrVVq7BvnqPEjbeZ5vReaC5U4s0tywAEr3XllFXiD8mghPcegB4rV9i+yy9WItqqk2Z94c
pimWvHbbaU/10qknvAbKD3UDhMKn5H3NuGcbYFCjWS0vGXM9GGB6z8966pRc3/3chIS1icuaNfNP
vbKrmqfBm4flGhHn8m4hUkIkjsotjXniwvPxOpfOrh3VbVijRWYfq1Gxmjtjye00kHVtfxZF2ndX
Kp2vzBFhAcQEeQRXe8/NHGOwUjjZLZDjNZ4iZBsbXzHI1lJjea/GGsvJ7EAcalxpEIE2j64elTMP
OuT4zOJ9WPth9U2NlNJzWXkVLgxe2h/evjxfWVBUli3gOghDrsj58wXNobcuC7X2UKgAEUGKQrkL
LNEUxj6Kzdbj6S2taxoAr6zoi1IN64k4DoS080FnGqm6aJ0hTFxs3H2pqdFe7ToklFJIdlcyossZ
2i+PEdtldSreCrxYhXBJ46YxJO7NPpIGY0gO8+EIF2780KfJtcjllfFWrSaIn4i4srab+DNKJ0TQ
dH0JB1OvY1/mGPn4vQpn3V9EPtA0avPoGl71ckXxxYTXxz/EpLC6zleULqKC88+ghqNllw/ZVGTH
wo7Fz4Zb+kri99pQJGVoNwHGgXW1ed71Vu9MzBn0ED15+aNU2glBdRr4YWMV/ZWA5XIsZ2XPriol
dAvBup9PS9Ta0FOjMcLFGPsTYY12KwasnEYHqbH3HgTCFYIfCj5ERyi+nA9l1jMKI1LYyKJkEWlD
P98VjZ5+WvRO7JGx6949HkhSbrJVwGDVbNzkmeUs0DE3FTvE1iTxFYHQRp7qh0rXP4Fjaa/cYS/a
luchxBo7kBNRpFtJbJtMordGoSlAVMJkQHsvQFdgyIIsqjLlUzRk0QQmKGpV6tUphfFJi9GJnkyz
jI+KioveVzGp5XSg9uv8envZ12Xd/C4dZR3oCxSraVdtNi4luFTrC1QHpg5bghyHmoOuOPGVajnt
mstxKMvTFKM+CRNpK/CIwkLLW9UJdq0A3VSuYoQ3NjYIxue+Tlpam01n49xR4ADeHecI0NWuhWo3
0+Ww6+rn6BjZsk+rqnd2iCcY6seuczFKFIU7fimXzNWfUjfNjB17q8b9RdUm6zDamUublw6FEtA/
sqvbqi8iKA2TLOof3diq1X1miCg+cEel5S7WO/cDnsCJt49Wo6Qnm070HV1h7g4dtXIV3wbEye/o
r5RYtSHQN96mnllntwQoZVgC5aKfTOCvBPhRuU+5M06/SM7A0swV7fxdqruj6dMUlXYANiM2fMxI
cPFoJsP602ZR7d6AnM3BThXLiDNE3EA/bdxMWXYCu87sT2ZiMPEnjYelPw3CSKMdjXHDDPMIMOBh
6QV3uNon+fK3rPAzeoTBCLRYINeYHwywFPWvNhO5PPZqnvPORFzOaNtHmHN1FOQlTx7knOGUwfWO
cXnXq2SMfQTJsu6GpN6sdomWm49OmfTd4yg9+9lwimY+4DVOIz9FlEA5WJOH8IoAy+EiVVBF9CBt
J4p2jZGLj9jgFd4t6B1ceeoGDWycjeKJ/GtxvlKByqogI9Rp9ySfTn5yorQ1cSIcy3of9aOm3nWZ
Gll7+M1AzwQKFDA7nDrHJtNpDQetyFp00aHw1PYBGz/kB4GuKdphgK31G41TZQxqIlr1jo67FUMd
9XDvKtoZpxzVVZZlrwj6ZLvVGeSXNdZafVT1rP46Y7fjhTl1yG+eSM2a3D/RxdHIvUzb21hQNU/L
BO3oyqF5SWk2ZxP4/lpltcFJcGzOr8RYm0pdW0h5EmmgKJPrsvwptdV93EL++M/korC8j3H++K2L
ZLg1JJ+3xqXF3s0x3Z7AsNLSPQy96n0yUyNOaAwTFgdmZmpfnV6hHF1F6KGc3GLksCBV00VHr9Xm
90o+UAMCS0DIiCoaBbdtEdGZuyW2rLIMDZnngJWK5tHGhOpKgvjKDUMz1VppAtQswIqfr5bWRkNq
N3EVdiYoYHtpxD6q6uZoFFdpRa8NxYTWJH6tjWwz7Cx3BFTduQqteSywpnKmD0uqaX88xXavVEhe
uZ+dF70rAsS1tLe5n+ukId6wvTpsvNG8R5NEO7Rj6dy89xWgPYEIH7p4kHF5aM/XjntswAwwq0PT
iYq7yS3zoyRWfXfkso7C5yHeXWtq67L+W+1RTKudjaQOq0nOj3HcKMAqMzCEaMXu3j8hg8rSWsPi
XjI2y5bHnWLpQjRh1Wv53s3tdkdIeC0Uu/w4dDBJ+QwIZtQ6t569noJSUKpNdbhMpcOrTa9liExx
JXa4DGgZxXWJxAxEz4HNnC+bQgHSbFpJ1YjG5R2KxfNx1iBOzo0+3Apqusf3rx3nlJo/XQX+3IwX
WaAqgNA1YWLju5WVsbGv1KG5MqvX1s5EqNiw1JWEut3Y3ZwVPaiB9QvJZF/3OSjPyrmGAbo8qavh
ABrxbDuVZGD9Ff9sOZ4SoOt50vA29/ZOdXrvpvC0IeiXMroyocsCFUNRMeVaoHjKHXQ+lNEZRD9y
5DOB1wryQTy7Q3JcRs3w1UWdCEkKA/s17dPbX+u1GSLBSH1qpfCjIXc+bJfZaRHZekNdLEkCRE5V
HCrxZiWsvbYRXxuKxhbpKsOtxN7zoZR+GfARwM3UUiwc0RBxpj20c/Jp3L09p9d2/HqvrhkVLHhr
c1HYnlDMacybEO/rewctK8B4skdEM8+5MaJr6fBFm5FkkacDjV9466uq8Ob6y7tEka3KeGOcJnea
7LLH2HX6G8XDI9icC2+X9YSZClnz8wgs/2EUJX6bONR+i+IuP/TgGoLYgADn1WnvW1GsXLmgXzyL
z2MB2lWIU65xOoihLZhtaic9UxK8CaO8K5eDZ6XEpF6qejIgTSwAq6tNEh2sGjS779aNUHZNY3lP
oh3nn+6S2qMvFKex/GQ0y3FP+duefCf2uBilbiGWVTAR22+1ZZz8CUp859v4Rn6UHRnszhkTK0H1
pyvFlU+97pntvLy1/A8MkOLx1quZ8DDqVMC0YY2eU+CKsd93OaaM795QK9gKFSPkPdlTm5qAFK7i
lFbZhnOkdzujEPJTjRQPpg1N+R2ZU1Lo9w/IheMyJo4RFHbOjwpg3sVqJ7cNYxwcgBdjPJlUk/lR
x837r5ZE0ZVY8eJoai8GQ9COuUu5tTd3dk1WCSRpHkLLhfjuG3rF1b002FEG9uAYn9+e3Yuo59lX
Y5S1/oc23wsDa3NAy7KN7BqnXBS4tUZ9qGk/j3AJ6twD32UWleaLcdbdQMInd/adXVv5L6wfSzTa
o9nWTjyqk3M7d26i7WuRpPa3oUTEzZ/LOkfLuLUbXJFqzYmWXdlFgxcuIsKYjlTAljooCpD89e3Q
ZhNc3Q7d7HutUUbymXjUME3sRe8dqzzX+hNxcSd27Rx7VNZnYMLqh2mqova3UEgZ/xSYSnpPhVGS
DJkqOsR3urDT/uPYdM4fS4uLH5Tk1/4XMHnU5mSW9t8T3k387Gsj9fwMq91on9iZ8zCBUMk+G9JM
fkEBcL+YKynogzcvlnXXL1023VUTZcf33v5wbcCu0HAFTs05Wo/XP+/bBH8F3M+ghTVYgb3ndYOf
SbB86PFf44BdbjGGQvMXwZQXnc3NloY05WIwbGthnmTJl7pQ2h0lPFgGvZFkV6LeiwdgLaUTIaL2
BH+R7Od8WvE0Y05ddFqoTKb1nzd2Aopn55qf0TgUx0KrzGs7ensNcf+sgHSk71Zt3q34hmJ2Cui6
xQgl10e9n+allftlaZMPrci19wrYc9sRikAjJKmjU7+tPRWSrVGXrRWmMlZ3qIW6fqMOwjfU6dfb
JxVs3eXMWEj8a1xeOFSAN1efKybPQxB6CYkgFfFT7yZv+Gir87jsKYrByYjmwRBBq3V1+7mBbvO8
IPA5hLmEHxSMbHD4D1S1MCrtpXfXFuZAtaBw26p50EFqea7fKsWwfNDgsyx+jCRI8RFzS1kGxVTb
dzX1+xQ0PtqDu0UbE9tXHG2GsLmkUCXSscMgKJbIJviVGVcTtJQsTg4AX+Z017IoxYErZtY/LXMp
nJ2rza77sTfrCvWGtLMM+Aq5C0x/yDCG7Thh7R3/VmSHSbGn6SN3frQEQ2/BDVLrpo2+C8MVP1Am
pH0Vi8VKDpE3jOpRR0Dd/pGr0jMAg3il8gnfQ9faK5i9xgfLWoCuYkWZekFNxx7v4AU/+bsyc+2f
+dDnUTCOk5f6yTJBS7BItP9TO9p63BNFZx9xCSrGnSctqZ00Ix46oARzQgyRQwHQdomTZwnOad0K
VpWVrkR/ITlopi9La7J3bYHG1SE3Eimxv57FF4zRMVOG3+b9V4+LstxnZZU9VKiKfiKKwQ84X+ZM
7LNecX4MVP+g/0XIlfijNZCd9N3aoZJCur/TRZ2pnfTJIv1lViv90LL1se6NFPEbXawo92uwR7hZ
l1Jq32NlHMq9LrLePiZNv7iB10lVBKWbZZCxsR2BbT3Z6jPhR+c9Zjqin/fj3Kflwc2SPjm56ANl
B1Wg845lPIni6OuD1tqPltBFtzeVwsOzWZJSwfScE2ghbx+HLUJmPXg0+PgHQBn9sm2NAIJ5BQXR
JumovIWHxO0wGDaEq4IByAqbRg+5z4xrRafL42TgwhAM9dxcwx6+5J/nDyjNcgqBKKdRHOHVPr/g
YL7RVYJSGWpWb7gfMVUX3k26EEsEZm+o1VEB/6HdutUgS4LPBgtOKijWgMB2HCf7Limm4RHndTc/
ZlYR5cdaUTFVXiVpmh1NOEv4g15VSGp5hfI9j6rZoOg5pN6hwvR1CDK3y59lPwzPPM64njl9m5u7
ofDSKVAHRdU/1mVV6x+7PDV+2jHqxgdlFoUVlFk1djecWkPemxXPD0b2czurflcUPajrUquTK7HN
5UejqarqNCAgpPDn5uFx8wGVoibDq7hMndSfrSJ1Pns0HaPTBLliwVaHjvdO5qqSYpreICjj931u
dd/e3jwXoSrPK6xvgA7g7SB2bGKsCp5eLM3OCyccC4KOOhcdXfOanMv6t5zvDKL7F641enpQcTZP
3+ThSle2ihcO6aDPB+CjOEUuKha3bmuld4ZZGPk+HqLWuRKyXi4zKSQBK2HdyvPeUsMKmv9TU6jp
bVMPA115eeg0p4Vc250YdMFcvS12pSqPVtU9v72yLy3c80mvY1MzI0J3V/DY+XHwxOT2gAvTW7WP
Biq++lD/Vlw1/WQnMRIPsVTbp6RU5DN4gmq4mVwhqkBR0JrAuqi07ma6pt+hF3gFcOFi1HcucN52
j9DmNN6LXu3k4e1ffLkXaGKsGjgrNArQ7WZPAn7OMCgW2S0quT0G6/V0TKnPX7muLvcC+YpHqx15
WUBuW/grNQtziZU6v11aJZpCDx7jk0bNSR5sqWI2Xe69aZo/vD21y9iLmjMpPoAXqPe0Gc+/hV11
ajXqRXqLV4CzLydb/+YYhcI9WCdfTbsq36uFiZUPfXcDQuBKSzQukG6pZcgRevKthlRN5Zvc0Di0
Ktf4dK98shf9kFU0faWFbUJlEmFRzO6Y3lYWImtzD56vjKdrYIXLT0aVmwoCdQTUGQhez1fPy2Y3
XsAorNX4+Uar4vlxaJ3qw9z27cc0k8MvS+2mp/d+MhaQZjB1J8CCiLKfD0ojwOz1KM5v3SxtjrKK
tWcX3avfnlJru3KotCvh+eVSIlKHILW2YoLhG6ypwj9ZR0f01PY0029BfFW+XCh+EmbmwduzWv+W
80vhfJR1o/4zSqqZ9IYAId6q0hSPNhh3pNHxRW/BfD2+PdQFJRX4Iaav/B/CcdRYtxUgMSZduthz
djvmbfOfnfQeT6roKov+2tKnNw128dHBruhQ7ZfEFPXetlupfKawlLpBVOhspEJ6E35NWQ4UPY+d
4cmyq+qH7LzsL1e6gXzETDvQaM222RdqX8+A2JAMeKB+NgKlGTSlCeas7mO/a808C/Iiih3AbfSW
dqWmtMYej+3yp1L1S/uxH8Yk/h3joB75kZL1TxihTckDRfurLnkX34HCorVK+FFHR3f6QmtEG00g
ZEKEDSHJzhLoXrR9o++ryk7e+8lfhnpxOITNQs/r/JPT+83xW4tF2NrSQWXVJP6MxM+c+Pn49he/
SIvWkXjMQU3RCqM6fD5SKq3E9EoIEy0ORz5YXvFsO7F1Yya6tpvquYcMMo637uw1V+7Xi8PzMjJl
fERGiCLszRxzNOvdsWI5J6tzbzhh6rED53vlNX9tFBoGiFjhTLG2D8/nh2UelNMlV05uXHcPlTsN
91GZOO99BpkLxXUEgNfXkP+dj7KAf1RAHysn9KblQ11O1W3WWddQWa/MxaJDwD2zvoIA3s5HgUJF
eJz2KP1gG+AcZVlXH3TwPPbN23vi4u4GmAsnnhaVRksNjtP5OGhnjChyJHGo2OrwA+l99zvOBh2e
Bv00O5/HMm+H42Kl0bV3/pUTBsqGMWFc8scWX0pGupJ6IgUCXrPCzKSosJnPG0oCjefJK5fda8up
U5QktuQwk6xuppmSx06gTMO2c7zhQKtML3dWaXPlvL2erw1EcQO5NhSKVG6Q84GqKBV5FkUM5GGm
jfBJe0OrOXl6/ygUj184Kms5ZTMd6J4oBudjHPaO8ter9WSf6tE1JtIr1wU9y/8bxN0cJ+53GHig
c7ku7Pl77rUU2qyoH26gPYufteyMoNbslCvSJJN//wRXkBUBBeTJi26zSmdi6N0SyHDVegeHF9Gv
cQe/kmW9tvm5MKBToGIEK2ZzIcZIewy1aESoOXN7KIey39XVJ6t+QLfePGQEwlem9cqmt1EgXCmn
GL3AWDnfHbSXMLy0VBnqkWn+9IwG39Vpshd9T4NjvmYI8coHJJ6lbL3i1KnHr3v1n2CimWKIWZ4r
w/9xdl67cuNMu74iAcrhVB2X7GV7Odsnwow9oxwpUeHq/0fewMa0WmhhfcbAmCOzSZHFYtUbpoTK
1zAj/YEPZn2UuUf/Rk21a0jZ9muaxmm0M9GNY0DQQicWrxfQ/3fcvFJphJah1QXJYbii4sDTxaqi
nVO9sZzYOZFw0vOGvbBu4TfIMHZpAvEMYqV2Ua3xlwFw7FS3ifv6+QDVQyIWQgyllDXQoom1fugn
Jw1Gr2/eZXWp/gSPlO4E4z8/+Cb9w8d5of0tzW9AW+t7cuyIlVOVprCZHAU/CPhmQ3wS1tLZGF0H
pSRiOI2vOTIUKzrITplGMidg7/Q+R2XE47wZxLHXbUpvczwgu2mkLoUlHV0x9diatae9qeq4645h
39EBUsH9fK1cr/y3LxoJ5cZLzC8z4CjzOW2VxPRnbIjn9hDJ1LI/wWUnCywyaeln27Pa7moXRt58
KLPZ+BZHKrD+x2Hg7l3GBQsHAQg0DQYsA1bpMLB+buJowGIVP1K0csR0FPgM+pOivkv6Yo9feL+f
SD0wXyJ5oB4BN/z2wNQxHZMUWZVAlHAF1BRdGkwNcx/O/h4u5P6AMBRqa3QVcWDizXk7FETGsGlr
WFYSrdZza+XRpa7K34+X7z6+0bzwUHQA58jeXQuwtmZlh7mCCupUuMnJ9AbxY9Dd/G1VVNoRHdjh
XRbLPeXHP2ZOt5uY/Ut5b0EGcBGuScadmU0NdQ24DiLLbdvPBiUS7/QFnvKkJKVIYz8zB897p416
XHxAIas2gRpaAgWFUlXD+DNOpVL9qqR6Nv8oK6k8t9lc6v7I7k0OlLvbz6Ypp7fVCLcQspSLYlck
ylL4Qx3qKBuZJWw/tRLZ96xC5tYXKBLLSxwpxd7T9z7EQutfZASojoEkWhcO6nYgSbTbNrCkU1t+
7Fbdm0mP1Zc+6qavqqz7S9el8/CmiCdh7ISLe4AtmShHA8M5ahYaseN2E2l6NuVGKmnxmoixHQfH
FLSLjFmxP9ap12df+iSvxdsma9zqI0s/RU9an5X/AOiOjW92Iyb9oCaUYD8+3nf3m3tx+oJiTv5D
9XKdnnhkrF7niiLoDeo1+iTm9xq6Dv8+HuX+tMIq80BO03Cmc7a2LkkcmYDfgsvpTED4/RrIaHIY
Ix61V+in855XxX0sWrAZaE3D0V2Ye6vFRu9FN+aQw4R1cF2eTFeh3WMBn60Pc2yP36zMsH49nuHm
kHxWm81FVFpj7tw6b0cPDeigxdXr0A2qfWqEK89VWbunJs32zI82x1skisAOcamuSYI2VgkFcmAE
pXEI63M6xOFXPSuLFxq/XDFJSxtl52LdGJLaDd7tMOs5QOsks2pVjXdOUgcgpMVVidv2oBttfMVO
vT1miO7s5OcbmwaGOpo65A2gX9daKQiZ1aJx4zowp6w9a1o+PQ9Z67wRCNntHc/lJXgbCBcyK8Gd
o0ByufYtpjNnjqrdgzDUIxAmaW9NDqwC1/4yIZ7aB6mo3Q+dOVQfgOXT88gKtu3B6jqzOCeGgcai
5YhuwvhODOXp8da6vxpYAzpDII4oB0Dzuw0dhRBZRqm1DNym6JHlNU6iSJt/KHAVh7GlGHPsB1Hv
5Ntbi//fQZe48Z+EFGVYMXchLDgVb6uzyAvvqJURypuqVv0P35nk0/2jpEqJcPkp/xlqQljfgCsD
1d0stXPJfRHoatEfsU/f0z35U5Jef2dyeoq51FWgO6ynRbMLdItWBiHq6onvqAqykZERDu84vyxu
i+VO5eu9F/47ycod3+rzFP2gfmm2fpjn6Wu1kL1FEYNOHwnM0rJZJ6tKPHiNFkLzr9GK9JWOKtrc
Ja/1Q2YUUEKLoB1McbCaqwymU4whRi68DGaRYTRqmQKwptNcHu/TjS1DCqEuy0sCQxS8/Y72YM7K
oDTgqCOhXNG5ngl85Rz0IXH38VAbt9ZSkSClJGdRSTtvh6IrPMvYtKF/09YHplBjyV3n1iulApZl
g81LXQeduwXBeDsK5CghULFAsGBoEOFXauNdP2fi+HgusOj4d1abkuI4LS2QK7S71/XxwpNOCCR4
CDCnyucfCRD3+acB3UG8NYqozKvDrHB9f89FphR0fJO6ESdXzro8lBOWoJ/UWcNADVObUZ7sJG4V
Oq0YTT61gzLp/xZZbXwFBFClF6ptOMzraaZqB6O3mugwp7HxWTVzXi0CJIn7zGM+Rc3VHhvNPbVW
A5iow1PBvsblqLVvWou3vU/BpBQocpGuvLeVdq4S30q1xIl80QD3TH1Rpkp8mRw90o75hLbqsXKl
WUFkKfPZd6TV5uAARdfJn2olJ+faW11RBomSq8lBRzG7vpjWIAmxoex6yHhxUxwmGYGBCHMgq7XU
tfijLAunOnUkkp5vaMKK3mncTf2hTNMp/xhFQLRKX46Jnvipqo/yjLasLfEOCc3yWja5Y/8qa33q
YY25U/2EgmZpfiwQGwMtTaPX+ZVaamQHTlqpxQkeRhL+ZratdTCEG9rgRUJDpQJfSoS2k95DMmxG
Kvdc87WezSkS0Xe3sesf4TALitJZgwhpS9m8uWCbOvycKO3WR8vrbdMfhxZ/cicxleYam0qfvDgT
Sq5IOuIH2foGlnz5BTlI/VskR1jWvp3U6dQfEc7t9N/QiIla6LIhySpk7nzu+9mz0NxtwbCULfoo
WVLiR+cWvYMXRmwLHNixf8uL57njzX4J1bDQfa2ax+ZshGqjHLM+TJyv48Dd7g+2IeYXsJ+Nw0oh
4HQAzTlpPxqDKq4vTSv5ORtJqUMOkmZ9QoLHdb5Netl/zNUcfZkua8X87KmxyC8d2h/jCfdVbkrf
6Vu40/7YdGn3lEaV0l1HrZZIOzsekQq6J5vOr4ETFL5BLjecsbrTfw+GPUdfH5/CjYiyiBFQVl1a
VHddfJNtW5SZUnMxpCj0i1mi9BxVjbeTRG0EScYBS7qgvanrr2KKh5JuiT1lE+RjBiMa+W4kkqce
spBPjaTeQ5ZuTIuuJS9kWH2AStaPHggng44PYhNAVWuOatyEX3QYOTsc2jvfXSIlVTnKOiSIOOyt
0fJmHdpjbCNbCVzDC1/Ax3Q/gJdrH3OAbd1fER25+T2ZbDFfp7rE8bFKvYYtK8vetZ5qI7Wy52ly
0+bg1TSUg5bbsDsonaN/Q8ZPF++6aZjSQ9TilXu0E7NoeAyF4T9JJHPUyRvFSD9b3azG79nxRvec
zrPdP7UJgE1/tCREVFXp0ERFKMBNjhUcheLp8f5ZyrirGL5YQS87CPmHO9FJrdO81jYnwOdmrS9K
4UhApZFLS9ACiK5kKmKwhQ3+SI0NaGyWYv9+/AP+fMr1L6B+ACuCVw/Y19XOsiBGTIvrQICsg20d
x9mr34dCSQs/b0Ncl/s489TDpNfWW9dW0vlNX851ezTkpGt+lRU0Bx1XaQ0e31GZHmylC/tTYabC
PqBS18SXPmyTn30zzu8L4OZ76kAbl6BtoLvLrY4wIoCa28s2V3HGGiTZ/gjmyG8qeayQFDtEon1L
tmvt5CobOTXNGrYthBWNcVe5SoY6r4bYMspUztz6Frv6WKNhP9O6Mef5DQdpp622PDnXX4cMD+wz
EC+KVsv0/5Pk8jqIq6TPiC/ZpD7rRl/CVRQdMvd5c8VtTA2mbHZBxnX2zs7cCAHY+iC5gkEC7eN1
20iRdoRYXV4zVeqNOWqKxybs9vgym3ENsgytNlqx94ix0hhREg/rwKhKeVAEHpFz2SpHV03HnRC6
NSG8LijMY1ZEYX61lKI3I+r/DBW54dD4RhpqlzIz5c4X29iQvAURLkFpyKAgt2rcjFBxUWyz6qCP
w2cIGuX33nT/MdA0ezLHLDo+Pr73k4IcQ/FA5xvxxF6XLNy0TlHgcwTv+TZ/ysGqPo+6mHby5vs5
LV0GyuOgmGiwrZkrTWQCzEN1JSjHLPx7kSkHQmPn9TstNEP1YIRe//PxvO7j4nK6OGZwHyl9reua
UkMlfMjGPlBl0Yyn3mz64Vq2sjBPMsujyAcv4DTXynEIkZZwjf6QKX0Yfn78M+7PO2V65syzBFiU
tXbobVV9UiO17QJZpriJ5qr5DnSxfqAW90edLvkRh/a0c/K2VnsRWOOap3CM3sPtmY88XYZRr3WQ
R4Z0CppU7cGpeakS+fi1DtEVBGm9Z3z8J4O4jTQLW36hzON5BWJ8VS5ogDH1GSSagJs0Vj56Sd8q
XxCk6PsPEIlk9Lny5ngCglZSo4KRjLv9rPWK2kFvAZN5yDWzn6kyFPVPgM9e+j3RWwDLLe6u0Yeh
72z3wnPS/KmGXZTA2qEo/CUxpeIdraHOx3dKOCXtTn1m43SAvkMOm3NGOrOWIQkbxZslvhWBa2Ft
YQ/5/KGkerFzBu9j9FJqAl0POIqd8qda/p8Y3UHRxjGo74OGp9exJGNoDiGJj/RVYSTfrGLMzxFC
T2/62Mle30ZlcB6BuL1RXUOK4XazSHvo+lERfTADhL+UFH1820FD6vE52FhIuqdAIoCv8OZcX0Nz
otAqihnFzhUzMEat+KbWvbmTD95fBkspfVG2ReVrYVffzsUdvagqY4uFLNPpq2HL8ZnXoX41Kvwh
/ocJ2RyvP3AZHuy3Q8XEikEXZh9I+KbIGkA4a4xcP/8Po1CCXEqf8GjXpUiBol1cGLEMSEPlMaqN
AfXaaq8SsPlxwFKC4wX7Tb3mdi46m09P41oGyG9751SbxAWvgfnH47lsfZylSedyswEwuoM9tFqb
xp0rg7loxUsn9YQ726lAj1nKTgHlfijKTTDa6AeC/4OVeTuhsK8cMacDwb/XyqfCdLNfodChTNC+
27mtN4cCHYzX1NJpXCv/wi6NpCfARfEs+O3QAvZjq6E2IJU9h9D7rwTnk1Lanx0HxHb1lQBOTV1l
JotgEMock1LlvodGyenxV7q/O/4f8gtAOQnxnShBpI9hiofKEPS93s/HgsbKBZ5Fpb4kEZ+Wd1Jj
psfHY95fkmTUMKqXDu4CdV7dV+DtIR3kjOkKYX+YbDn5fdksxil6FtiGnZwVt9o7WhsTBTWFYhAq
4mR06z46Lh6oecDwD1SjA84YI9qb4+rxErt28zas9D1/w42NwnMYXdpFNBMp4tUkbWeC0CHdIVB6
GCy9jbeSF1bROW2l9+pbi5c3L2Me/JTviYi32z9DdQSiVTEGwtWrKxyG8QkG6R72Z2sBoWrYdN3R
ClLXVUrLlPAfsngMmqqzK/xCMtxzql5PpiDRnf5LMef66zEWC/eNSiZ0O5LJdfe9lLR77bRBwDkD
YRvCpkS0JsvNbOe62vpYgG841ug8MbnVxxrNKkW/vhuD0KjaIIts/VIaaNmjGNTsbP6NZSRrokxi
LqJVNJxuP5Y90fAIa08NRK1Z13iS2TEWbn1ICI5naZT9zngbU6MORGgEXw7ie93A661KtVuEPgMV
n4V/J1ywkBAMrfINDwBr5z7emhsSWZa58IoozS+/5T+JjahE1LArtGBsKuXklnh3F2ZevK9mFPSb
cFck+T6Q0ACgwgUiDFafvgb75HHeNUpB20zPXOudSs3zqJFvfC+zonoKAZ1+zCf0gx5Hr/u4vDRD
cVfgrWsu8uy3k6xGsG/YQQ0BSbd60lJV8SM8LM6vHoUH/AJ7JY8mV1yBMKG/pHNWYFRrNnM7XekO
IT2BYEgjX/3KBQ2CAhhjAAihGHs7nc7GWaNoOdat0cMB0+zww6wo7WtVaUBJsWo0/mksqjRbb0fB
l8tMC4zSgtolp+EFbx5DhJr9qjJfK8zOnQKEnTIhuGIIjOscipqUFsMzHoMO+LoPK7LEd0bLD44d
1//D2oHxcAm/i1L3upubV1Sgx04dgxl2ud+HSoYWhLN3Xd6f4KWGyyAk7iTUa4RgKVRtFhMq9mx3
BX/LQfOVRI4XGweJ0+NdtzUUbH3o7OQeFKhXu25wrdx06mYOasel60vmEfc+5I0hu0jwj79fPZoJ
VAMt4EXOEqrI7abwdOzDWC6VWpWH1NhkF0cxDO4Zu8bXyqmzKYBVoRBPuAAfsiaIizprxJANatC2
kXfUsY08oG5VvX75AC5zhrgneVmtwTcdYtFjjS0PEMeyPtBnRxu3COeLkSl78o53UYheLu+DpZLD
a0FfM7V1A1II3mVO4FKm/nsck+5YD0n28fEXuh8FFgihFVQxFz7X/u0XigYzi+sWhcx2FO2Fuv/8
7HY17MPHw9xtOwNHOkIpdOYF/L1Oqoc+d/NBySglLHiWIvHwBjUaTHKsaW8j3F1RHCWHlzeNcP4P
lNTtjHqjGFtpeTLoUxF+tmXWH7t81i6TmndnIao9MP391Di6yIvSfAf3hGbM7Xhw+5GfyLUhoMGs
XI1JT/2hr+PzqImd07Q1M94jPEsWXW3O1e1IUwMNMLPUIUgxoz7R0qJNmIzVudaq+psZV3sv4j+V
gpsC0BKVSJYW6Xna8eupOb06Rw7F3iDs4ugQwwZ/4xQI1fVVWL11wXr9yPrJeoOmnQerWvcudEKH
ywxkLkh1PAQnozTfGuq0dwrvsgJWGacMFC01vrXlrApTceL0VW8oY5A71eTPpjEfx6qr3sV1MRxa
FNc+OVm3x869p05RCeMGNcAP4QpCb+Z2+cfaahrIYHrQU5v3PoZpPxWfcwNq7qeqggL1I3JnMz+D
rDb1Z+oWEwovXeOKN0OM/vNJhJ0VYsHTklR7ram99xCjMw/grcyZbnaBp+yg11H4q6Pc6vpUOXPl
H1uJrDzDUnRUodIXadEe4kEk3rVLMrc59XgEl297jFm8b1NY1emRHLgSPs+9XPm7Rro69pOG03ZE
4SeOfBwnJkMeG6pT4aGiSNq+tiTA6oDXAJ+3nIQ7ChU19kKSzhiBiwSoCnhA5z2UYB08GmUqdoLK
/TZgMJDgELZ4rfNsuf0gYe4II5udRevas/8yOreJPjbtYJZHPbKM8tKaVpgHdC2nPaLOXX2PafJO
AslBBkL5a5XiN1bpRemEnUbauqZveJm44pQLlK3v22fRo4F5sJpanKrMDj8+jqT3AZuJgrPlaQ2n
i6nfThoh4GJ0zdoIKiRDDrBm5VNhV9MO8fE+1DAKalG4oYCzZ7TbUfR6HnM9TMwgjvQp9b3KztrP
VDxrj9HgqSNdUwzjTgq58T3xQAL0i7kHxYp1SdFS0COdBgblKTj1h9lG84tmo1Kah1ofle6QI2YT
gdoj/jw9XtX7+RK9MTuntPTHy2P1QWvALLM1mGYAXss2jm2VVhMdTnwFTnEZF6FvtlHTHh8Pen9z
AAlaGIcUiRf3n9Wn9NweYAY0cHBNnvskIpNh4PQ/pYW7p0x5v2GXrjrvGV7aJij91SVlWGPSNnQz
UNjE9djQw/dNXn8ZZjT8TRl/EQpOzpU0d3bR/V6lzL6oP5AA8oxbu6kvEh5DaoB7mWygHikeR0fZ
J+K1AEMKIuAFFk3MRSRozefH00yFtYbExOC44jDWRnTpzMjya6RKd77YPX+fVxRpDLZQf5LaNcxd
mDrot7p1g0KNiubfbuJ9cMiAXAFZodftXAA/h+G5iIrEOYZtZGhonNOOQJPFKqzLmEZ9/WwboY4X
eU+V5VoaIZkqUVxUOdIqNRZgndWW2R71YNlLt1f5UtkhXlJBAsa87p6NqRfnRVN6ATgvMQaZOlhw
K2CHZsd8sLXkTenWWnvAMRcvG1fBeOok+jL68njH328IIibCqCgQLXzN9acaEDhyoHSFQapW/dco
q9Hwg5Hy+fEo9xD5BZkICJIeMluey/o2emnuEC4Q7TBAVpZDBXQMy23LynEmKiTl0Cv+EQjiZtYC
/xhKfCs/uL2Bes8Ewks+KX0rn/Q2U/YqQxvTdyn3YsdkAc6DK3H7u6oC348ZeYegmCIQCbyZvdof
mmJ4NVhn4WAs0gYgkZdy+eq4d1OVRDW2um+QhM0O2ij6i9Ig9PJ4ne+CJmcA3tKCtKA0Q4XhdjrR
kFdYldQUFmgFv/eaWFxrCMzvNKfo3uB23+2ZMtxFMQZEmwRkFZ0g3hOraZHnKnOpUI40h957jjs8
fS6oVtWVPyUdateVU2b/mu08oQPE5tqJM3dfj5Y6kHVufL7fwui7nS6KwlmoVOArMHsn/S7pyqLR
4mXlTlqzsazcROS1ixQMQrWru7cqi4zuak49r4tn5ZzrZih8PZXVM3pzsXG2jHjcux/u4cxIlCLU
RYv9TzdvXYdFLxTL7gld/3FIR3loy7TJTqWMvRdXGx3Nd90++jfHcw+YHpi7I7DI2vWxoE6/xfTj
w+PjrbWx1gvzC8dfl/4VNnO3a52JOnYKMs3AsAUcBEvGT2Fs1dfHoyz75SYoMmk0WRekMTEYe7nb
UUZFwsMUpRaIUGTXrkb8o01CL9DYfjubZ2PrUlRfWCugcrlDVkc/LGdR0KnXgmFU5TGxUwcxFQtJ
amUsDmbpGMdQU6f3rR3tEeS3JglKEDYo7A6GXmUZqT0Ykde2SMwhq/QM7Hd6v7DQfpX2IF9730OI
4rFIOgPYZVGMuV3PopsECF9NC1owrFfwA85Vz8t8hwC6sTforNMlovy8ENlXRSUFyZSGZwznI63r
S9Lqf1siNHY24Mb3YtcRZ5b6Cw261fdKRORUicJjL7KlfoqEXr8B2Qr2zehs4U+Z7nzKcQw6lZEY
d8Lq5tCkwIsGwGJUsNr72M4USmhE+gLwyj/UBZLudlZoX+belt9U3JEwN/JCkMP2nvLhRuTB/2nR
jAF5RQV8dR7C1uqSIZy1oAxN+RwlIj7Lrkt+IECNt+vcvNY1kNuZZzxIC6rgUBXXfkKAwDRt0a1H
md/RXgql6Y/q3KQ4L0qwgo/P+tauWarg7Bg6kshF3O7NpotUSq+4iUSYlhzTIovPVUz283iUP4ow
q5BCvc6gvgo/kFt+dUWJKbSBMpt6YIfVmxERlbxWnoxYeauq0ZdCsU6qdP5pDPNDH3t/aa3rY5Bx
6i0DemupO4fY3sMnbs0bHBh1RDqVvKrWP0gbcUcrU52OTVce7C7M3hRQea+P570RZLgWl8IIL3HK
fKtUQKnTuJ/rBlnJtCg+9VmUBVGaWKe5nffgLVubdKHigZpnoe9c2FS16ZvUYSgVFv/fVKhkYMSz
/SWMw/QpC73utU9DOnnAeEgmiZ+EnNVxzENFNWc3MwNR9MV7CvTZ0UOB8FApanhW7cZ5fRBdiluU
tdAZhX6+itda2moR1nZ6gHPzjPuroR8T1Xy1AA2zAiACSomGIW/f1Qdr7X5O4DxQqHEUgbKplh5n
HV1kNJ32RK43diDi9ODUVf5bzvvtyat1I4RmhrdOLMrm4+BE0bV2h2onamrL5bI6eTQ1QHQRM3mf
3XU2ZDOYeaQaQTR33oV+RAh5sgzfT8UkSx+4YNcif2PEvlLB38hkH54GHR+OxwdhY3dyAMgnuHGJ
XmtVu7mlZlpVaGvmI08hKqUiDBRYHMB8Bg9nUjPdk2PfWl4UcU1iDprld92wcTJarUJiFFRgOB2t
1NUPZd3N58fzWpLb9eqCVVmK3Lzd7tTXpdPWqaFHZmBZw2+7Vj43k/VMT+KF6/6Tm0wvj4f78x5d
jfcHxcFDBrAzj7nbTeMUhW5MUW2BRUCu8oLglEyeeD/Nw7GjmBEf8zlFa94Zs/qJl1ukXoYI375D
Nrd1+cuK08J+Uty+fakjaZmfANwl7jEcZaIctFox3IujDM77Ds7TksUmI24TpZ3rQaeouf5T5ilC
RSTLffIspiTz8Fw0vM+WPU/1oY5zMieB82v3FM66ml2mWFjQAxTpFld4/7Lzoa4n8rvRTCb+N0Iq
CnE+nKtjPArzez3kuXsadbVzj0armMAmYTTBhkV83D3qLU8DP1VQifVNJ9bR2Bqd8CtfvvulFfkY
HbOmSOOTEaaoM5LYoqY11NStzjmIm9yfwqz45Dqh/nuiBj0cpG5OxXHEoIangxoq3+0aeup7S60j
/bmKCxHokVOXh74x26/xFIb1wYjV3vXR7DXya8M75UetqFQk7K4wY38iTsJ/0pTsd65KmV2GZNR/
yRDO2AHGUOsRuAbUV4vCy35GuQfLs9GLQj1iwdY7O8dtY/PbYPxJVhZd47u6Fj1brG0K5Iw7CbK0
rB2AP4M9Hx/vxq1RFk4Ka0xN9C4ZrEqq+97A5o8U3fLVCVq0Yk57OjFbo3BTk3nxZudhsgrJEviE
MwMlClrRx0dDjs5pDOWet8HWKOAOeVSRXS4iKrcHa+Bm8VwlZC6WKj/PajZ8L2QWnR6v2B+t0vX5
Xdgj2AzyWe7ixUh5scVjiNpmaSKvPC3NseeKVwqFa4RM9COeZwBjhB2Tys49KpbHFK/D3xhoCuOo
pU4uvji13v9WqdGke79u466AH0nUXPq4KiCd20WIpwpIVQhu1Uab9ltptdrHKVUcB7URy8DPNBWq
vwgV/T21Q3amJzcFtBr2HvpbnwIJOHD0i67YHYW4swtyGcRuA70ttHeQ7+OfaA1YO+WEjdSM3iSK
dmhFULhYo7hn11QomZAAEnZ+TWkYXSRn/5D3st9Z1o35IKBCxQluyIKKW2UukA4AmDShHsTjACHN
Kt1DoThi5ybaGsXlJHJOIPdwWG6/nbSsrCTg6kHSa+AIC7hvQ0W4eryBN+47YK3/f5R7cN+A8m87
6EFRDfK5zgr7Ewwz3S+GZH6jNaL+nMtq79G5OTUT6hX5kkcGsXqj9FE2F7EomFrl9r4ivPHalI61
s4AbGwIgKFCxJWOg6LGKM5ESd6ZejUaQhpZ+HCLvu6pOxjGpsnhnEZdjtAoCqE1SEHBsXursvttP
hUtbarcA12CLA8ZUmtyeTt3kZuIsRZm9txvlUxnP7Zu0Dc1vj7/fxlIyNLNjx7NH1rvEcHnM5nQB
g5YH9CknhJ+wS9grSN5T5ZbiAJNDqIMMjJrk7QwbZUrHysvNII/aD6Gl/SsLV4Em159dxfrbS5Jj
qnxzGuUdwfDTTDsUJRv9xQUt4pNkHWnAVn7UDx8TMb10rT0ftHnv/G+tBBckaAiUChZW3+1PNGiF
OPrEStDOwpt4mt1zlOKn9ni9twqI1PP5p6xFMItZ3A5Dzkj7yevNIIROD1jArBr0i+Vsvk8GjKHP
yHpG/dvCHsr8WZ8zaqeajpDN2aTXqJEMZc7ew21r4jyfIEIQ6YGoL6n6f7CKYOuRSYbFGRQ9xs+4
eBQnNXX3xIA2R1nkJ6ki4g+4hpuMVKI65mcGjTV250qX5jmRTfs/bGcK+YAhEbnk3buEq//MJZmH
KUY1wqQ8m8tTo9rlxcbcfee83kcGyBwLwh6oDvNZP3UH2dBDqmozMHs1OksXXq2XaN25rrrXL9sy
FNASSqG0KtaMpgmZ/NwQFTewGlmQ6ttk+O7Eu1yYrRmBzgGrRXV7IWnerpuUeZ8oBrHOsMwUlY6U
ikyUWR75a1jtvFm2xoJISIsAzIxG7ed2LEim4M9t9htK3tHbsTHEwRxcJZjayts5bfe3E3ki+ZtL
J9KkTL46bH2Pav+oWFZQDfivW5FZvS/NrrwAUHL/TkBR+43s1J09+KfycBvOGRUaBmpI1AzoJN9O
MCm6UnOEapE68jJ7P1Oi/ydNvLK2j1Vc40Le8HCIeZ/p9YuOSMN8CvNWfB+ACcvDJHTZ+irOOS8h
6hApKO9hQBEAcwdYinJhNPOI6uuzVVf9h9CLq7/SFumIQ2+a+XzIYAnNvlF40UtbVcmLFVvaF4qo
bevrIg0/1z3enr6uyFS57ES2ZTHX08ZHge8KH2RpZa+mjTRFYgnPDuB9hz59XOPaEvcPWUhEMTuN
B1lqfxQyNa55iJ0PnhVYY4xJUrzFOK86Pv459/GGX0GGsFxuwIbX6ZyC96Xdl6ONO00bHfEndWCW
Te7Ou2prg5EzQjmgca556zKm3uMYkrW6HZiJMv4YB10ccMYorqFIkmCGWuxLWXs7DM+NqdFdozEM
JQD4x7pTITW9N6w+QS5JRD80bEBeWlna3x+v38aVTbCGWAzecUlS11BES0jTnYUMgzKKrPaH6ig6
NHsP+fnUzx1sAeZRImAXRYmrX7iyzShocwxvfURxcyEOTaFnie9F9Jg/Y6NefXCrRs+enDTMB0j5
tpUGSTKXUZD2Ze74yC8Wxs6W3Ig0XAFUReChcuWsUQjjOJT8iRwkC4fqiPQcniQdHKUKHY3XXwks
12K1tbTj7loC81zOGafQIdvO7XMTeuKoFJVyyeq+2xlq4/ODU2dSAO+JU2v7i0bmEiuEiVmB+kJ9
pqW5Wzl7KdvWKFSUlvoc8yEtuD3NnSo9PRpLN1BmCySMgeeL1OdwJ0BvjELlituSBxG9qj/Fyv/c
13oh8rqLF/wUjapzZyfjBdzWHituaxS6JjoEdjpFNDJv5zLVnpmkCail0u3xtUWm9FpX454FxH0W
v8Atuan5LFyja7/Hycwo7nJwKbMXFFLV7IsZT1fHmCGTxckxCe0Tfep/Hx/TJaiugi7IKPo04AgR
OlhD4mvHRk7ey6zAIbJzPJX4JeMsf3fbUkNXIuazPR5wYy3JD8D2wNuBJrGmTEpZgE9KpRKglp4c
atNIj4mwi52Tez8KkrULegDqPJiJtbIVhBIQ3f3sBAYSJWcv6guosxTOXjsX6BEW1Q2yEJoX6y/W
WsLpSK69IKJ4+hJWo35OIE28fhTomCROC+MOetrqXpStHPUppN7nLPXJHvzjX3ZGc/TVc4Eny5cB
cAHYdw0KTFI0zQQIlAA4QPQy9s54zucs+/I/jIIt/AKqXGa0igpDa03oPaVh0Im+vs4utkIxD9VX
t3bouhDZKBzzICOVvz2vZARRjYx2GMxQq/1xBrc8ROWezcj90QFjAG0aEAksNHgrt6PYU9d5Te94
EC0TMwnUoTU+1FFkPE+ga7SzOXnep1evHqiG5YFPlYl38OoVjGQGVmpUYgNwa+5TqGbyaDfG3q6+
v/UAqNAag0kASlRdo6ewiOplkhdhEM+VQso4pWc51Vkw6Omey+TGMSXL4gkEg3phDa67D57RVK6Z
hUGIvdtv2o3Ju7pq3B286+YoNImhqbGzedzdfigv9Kp5cJoQkcKmw/kibq4qckWfH3+czWWjVrbU
rWlxrzt9qRvjClozCk524UnVo/hsJXP+PCz119cPBYAA9N1ylAgLtxOKda+ojK4L+SSNOGi6dA9l
6GCt3OV7UIWttSMs8HD8UwRcl5asTgxdrdJcK/Gsf+fOQ3Ke9WRPS2Vr7eh5USrnJPH3ah9kjdbF
g0KuGIdOfY0qj7sntjEqG8r+6fHabU2I2ABAgVQLXdvVZpCWrkCSncIgQ5wPAHtinZ1c9q+P2Zj1
cF0vdHMcGFYRSI2wZHQTg55kPGdfs3L8ArpZ30mxtwIQ8lXL7cOy8Vq53QZSMYskb5IwaGpDudCn
y95pVZz4iVSLT446l9fXLx2FF24w9jf9wmVp/5NsxYgO1gJwXtDZafVJOrHxTJjYc+nZ+kDwe0CW
wjFfgKW3o9hgeWWKC2pAOWM8zTj2BKY5ex8fz2Vrxzn0ZmiWoxYJYOt2FDy86UuKIQwMqSXHCIfr
58hEBLPBePb8eKjNCSGDsjSN/zSsb4cy2wolXI+hAIbrf1VVO735P87OZEluI+nWTwQzzMMWOVUV
qjiJFEltYCLVwjwFZjz9/wXv4jKRsISlJFn3gjJ5RsDDw8P9+DkJuKa9fdtc0W9mVkFBIFOVFt1C
UKg6/U1NrPdK5cWXWkFK+v6CtvyOAyQbgeQl+Pj1giIthPao1cOXvu2+DIaTXiJlGn1RDd0JMtbc
v29ua2FQhnKIaArCgrFyiHlGQ8UqTG7zzHQ+t33WfK2Y8cmPIYpYO0uTm3SdDksZVRheeU3AKrie
xOogXGPMbIiCxbHEaaai+bO1+vBHkU6lKVfIw3QaHGg4769xw0cgxmKgkpAOHGWN6BvGhfGjYYC5
ErbBU0nw+tBNjvHzYStU0bkzQNYycr1GvFpKV+QaiOiXOF7QRaMgcUq6Sn98LbJYxqit5Aem9njt
HmMjQiozrEWDp0oGo/EtatRkB+i5sWOATxxQg0j5UNo0rq04U1S7LZI9L+GSDsieTurJFk73+NlF
PgeEIjEC/oQ1+aM1101WURt4gQlxCtwYOYwQZtMd1pWttdAlAmbJaAV/r3YsWdIo6bTGeSkWc/Cr
0Q1PnbWL6r49R5C98Y7gwLJh6vpN5EH3aGtIY4PWX9BjLCvvjf6se8rjTn34kuW/z4w16CAyVb7T
9cdB4SXPFbVGFtWZjKPaQtnB7V/tbNvWgpiUJbLCaMEtuEqH21q3cs/ACiq7rh/DhnLwBpRDK8Sq
d3z6Ni6wFJnUcXB+ER5eL0iZlFHXY3x67t2vfaa8DHHzT+T0b8XMSSrmdqdEt7k0SX5Gh5I6zdq7
lQ4hkmViaXGp6ofJHYc/3Ea3XnOjc473g8KeKemcv93qtQavWJbJg6So8+dJHxFeL9zy0uZxsrOq
24sD50Z+hZEJAHc3yH6taZaiyBwbln/ro+WIf+Cd/ha1busDJvrn/rJuz5S0BcJDTkFzya/iQ2Hn
jidk7S5RvMYHUSROfbvsxe2NzaNPJLMI0DgkrysX7PvJUzxzcl4qhuCXA3zB1mEYp0o/UsV0d07V
ljFiMlkCGSV6W6ucBUJhN20j23mJoin3FcBNfp4vP1GqNh4Oe/SRcXi+E/5ObePaJ+BT9sQY6+7L
TEn6oObOcBb0rncO1cYnAiUsd44CFK/0VZQQDdJFTby4L6D2vcMMl9tREdX/HvYDGlJcRpLwgUft
yg+47Mck16kFaKJT/K7qiqe80veUD37NhF8nDrz6JCM4XRuquOuEf0S5XBkRJ3tBJXoRL+U4pJ8E
EPbPIyJ5tt/oM0w4ntOn75SMk3XMlnyKDzUE+owJG42tc+gK/hUtR9j7mzkutX4QTri0vj12uvOC
B9YfNa9flr8j4m74M4fsTul8NTGUKvTRboyTb3EltPYAshy6qfu7KF3r3vJWORiUSJLIy+UJTS5e
vExDW50SYxqex9lePmZF+IUBu4myfJK9b9sk/3Hf/IbnM5JEIVlWRsEkr2KUWbphb1otis0e43ui
qdNzDCF3EOX2z8ctycYbODeG93jzXnv+4IbGHMuHm2qikukOqnKiau1QGWWs+76pDfcnEaOxCNUA
MJR1nhS6aWeqSam8KFERnULEwy7swcM0r5QjQMjDYyD3D2zd9YJCoS9KXSbKi1GL+ez2NXNqTfTd
7NQ9Msat9XBXUW216WyTyV5bGoyiyIvZVl6otrrHAQ4NC8QQw/c7+7blDHwYyYbK4CEF3ms7dGTi
uqviKHCcqjouRVv+6bhR9bQszni5/4k20Ba4HD1JHrskzJT+r20ZjbJQkxWQxcCISOz9JIzqy1zr
iKnmzGvbTqz6dll+UsruAqPml3ia92oj27+BddKI4gDwjLz+DWQcjdDAtrwYud3+a4Vd872f1eXo
wgx7zkPb87WwDS9ZIZzj6Orio9t32iElgu+8/3/1PFdRgGalnFmh2CCv1etf4nRWqkJl3wQLxB/5
wYQTwPvC+GYan+dJTc2/1XwKf9TmrCzPXRvBDVKT4SA9qaWlEh5JCiGuQlJYh6VzHnLlc5vMCrSy
MRM4x4XREe0FcKbyhbEYr3uPcm2T/DHavdIf7c5kRDxr1Ko55F3htJbvzE7TAwAW6ksN3EB/x4g9
sVQNE3GyvMTLv41mPX1JhSHSQ+cipOBr3RQ2RyNM0Ia2ecYaZ2VSfzWmbGd5VnsxKZ+ZdqUO4DdK
I5ZXBFXj4nNS1OXwoR6X6GM5dJH1ohWhHR/movQ+x2k+aYdQjzIvMNDdqv/M51ktD0CZlNHPjdir
C7/l0Zl9sZhmKi8DOUN15OESo5cSZnV3CKvYA4eqTWN/rtyuVN6M0cnzi1u3dvYyO1Y3+ZNVaJpv
KTqvAtPtUcyFbMGY/ZHeifPEMEUXuT41QPFPqmqFd6Z12HmkVdoU8usmbUrLQ+UWdEtztWznD86c
Z81HXVRl+acyicmA0KFz5p+ZmUb5Kdd0ob2fGHxy/BQkfa0d59QJyxMQj7jy3ShxpktrFWhTHu06
sswA/q0if3MTL6mPkb5YPGQXO9f2uPg3Qgwy6RT2SUwo7q8zoKgsEJ0ItfBFyhoHCM9EQBWifif7
+eXHKz8Ha8p4FhU8CDfXhAEMtip53NYK+EBdC/Tc7L6ksTYeklBCvEFLDM/QVGofk3nx3i+12n9G
DDL7cD/2bK0VxW8ghPLSg5v1+rDVk9EgGuiFLw6UbAeNsvgp1ZtxJ5huWeG1DhYZMnzJMn1txdQa
W1s8blY7jd0/oiKMadM21U5DZiNkSwgS9QDgHZTI9Wsrhl5CoqxnUVCEIYMFXqX/Ibvbb7EWqXtz
SxsrArVBj4SeswNcbBUuy04UyxIqykuoEqIPejh8RqdB7MkZ/sqBV04C4BraDt7TQETWFFWp02Wz
a2AnGZY3eGkOih2lflrGr0TH53bynlLVPfLieZ3G5N1sRM+ti6Bk20fvczs/CmAsnTZfIPQ9l0Xx
V5c3Z0THTlnBEESkVIdZnY5WO1d+Ypg719rGaxa4ppx6AtTADq1uamhqswlC7SgArvmtJ+T7VJGV
o9GKt8Lg/yv78alADqxs1FPFo3a8xm8WTHahJy6iwLDizjcLbX4m0xp2CgJbVyUG5EVtyYfzuvHn
NYk9hVMZBaqLWk1YpJc4zxkeAyto2e/scBiRlXF/iLZE2dD+MPbOzhW55XzsKRckZQnQ2audzevI
KJJ4jgJmTLR/Ei3rNb8RQLkejg1gYGUTg3IomLvVqaU+jtTawgeM4ag5ppnQ0IOI9rg8NxfDMeJh
Ay/VTatkHpRRW6owCvLRjKhLVYyd+Dp6t8f7q7l1Ryo4/AWprBz9W0OtKgjl7UE1k0BtBjs/UX8p
EUJdMpgAI7130g/56MWfjBJyk519vI1LsJkw/A/HPpUx6jvXcQlAac5gfJUFumU8kyJkFyg+HXLX
Pfq328qHnKKWECLgubf1HJQCOtUF2BUk3P7DoVY1Ufhm4yQfHG2akeYcGDPaOeVbNvESDjqYXNLl
lZMsodpaSxOVQc1n/DjnmkgOvdlBW9XkvfVevjQ/3v+Qtw7DF/xF3gURIcW/Veh1UtcAXlxCh2Fq
/ffQbtTnTCvzPT7n269GuYD3PK1wThn8UNdfjdxO64bELiFEGz2klwebZ7M3XSq1frwQwqQjM8ZS
Ioejts69yzQztLnGFCI5YfU8a0k4XcYuK3aOwMaSgFzAzEshU5Wdr+slpaXIAC3oXFrRrPiGVSen
Sst7MGf6Hmzh9iPRhgLDBGaf0iI8ttemmK5QtAVK8WBgRu4HVRfv4oLI2KNDuKkYUDYC1UXkAMJK
k3p1tGr4ccGqzmOgKQvSgA60YcZbE+tj5pdWVH1ncC9O35amKIZLP4oQIaC6FHvaCjeLlfhNcidK
P1I3Zi07l1rIvy1MJgQ5UtYas3KdBuUbk/kP4/ckuBoTnHBbtstXDV8HNYU64mIN1Kwej/2Uzn+0
/dIE8aIrX++fsptzDSJZSunRJoKcEJTG9Qc0vaXR+9wYArOwo68i94bIB4eEBHVv9dSOYMR/WMBF
gqBBNTDHBdvNTU6FpELVlY0+BEJP63eI2pZ+ptbTo4QTCJ3YBGPYMemb8xGuFxa6iJnZwhyCgS5i
/aTmS/EpgS1sj3d4YwMdML3EJ/rmctzw2k6DIIymLsYYmEZLD0QZOvMSi7yP/LRzuxn6s72RQ/lJ
rnJFVsbHosaDGAGED6tQPNZFrYheWmy8/n+51pZPw6BNl9yKoOoytPh7yTvukOjzkJzue8tNZJGm
efo6dFC5w9d4u8apUAfmzg4sNDmeTF0kfwqEky6WaPaGEbdNEfmJycSx9bNJXZzOnuNhDPrQRpO+
ViujOC15rr5qybJXqNs42fDdA70iNQEet8bAREnE0W7aMcgq2/hbLzsz6En4j4/vHsMg6I5KlBeg
h2tXocRiU8ZQkJgu9BQdvlgveU+bo1O/VgrkQd8eNwfrIMUeJsY8GAOuzeX6VMeTGVLYjOQssdM1
5zocv41Lt8esuHUGoPumZC2HVK01TxkTx1CnpdkUqMu0/AANVv89RLM2PsHlmydnvU5LbccTN00C
YpQ042Bj1nzttNaHsbTyKYgo0z/lhipsv/RS66+unoscAbGI9Pw/7OcvpXTJcuSsW565lqip7aRT
YJdD8cPW5vlMLQYusDFq926A2wuPUiSAUx7T1FppaVx/O6w4DSnVFHR6nx5ShRjtK6KMn3reux+n
0hne5V0pDm5qVJeqrvda1VsxhnYX6bPEA93UCzRrKYaOcmsQjc2AlFdYXLqiyp7F/MPsaV76rUuz
F3Chvuzs8m29RE7W8kkhRpBV0vXS67GAEWzGbaemmboXhOPj5lAZMFAcyiEK/43UaEh8MxLlh6ht
h4+aYvo1BYfy8PDn5m3JbyCzAWLprW7GuZG6nejycAmn9bkZFuQ2leTnYIX9031LG5st00+U6HRS
a6CY1x87iXXGYJxkClCZmZ+VxDS+x01bnQsxae/KcOiZ3VH0E7neHkp8I+5ByC6F38kCeMWv3Kzy
UtWgCjvxkqiH02R06bnPQrGjP7ARyslCYUchCsk+yGp96LEXNZf+FDR1V59KrSrfd04/nsjpkp1b
f8N7JM+qC4pDFojMdadWSRE5U8oIeIWwp+mTnreV44N3S9+mIlPGQxvGovSNeGZ+0ZjQQTsoBiNS
5zyis7vjQbfflegrh+kp6gDEX/+WGqkAzY0jPFkVP0qv/7N37ed2nL4KJgB8ist+aPZf7vvS7Re9
tin//LcGPLq8hUcFbgiUgQNag0uEDKJJdjz29ovytqbSQV8XfPfNdJXbRgmKwvJydgrnz7ppjb/M
LG0SP3TD6X/3V7RpC8SolIHX8Z+Vj2qRIK+BJyZA1mw8qOY4nahcK4cx9h6P8HJqhs6WQUuIW3qV
MxqJk5eRzrLysFOe5iTNn2y1KM+T6+75xsZ3orMqCxQQk1J4WZ0J8vp5KuKRF00SZ+eWOuNLnlfR
Dq5J7s11qsiC4GKhv0JguZlNd+e5NXJ1GoPOYXIhLxkNjd/Xqpr5UxVXUNjtcmltr4u7i0OIntla
+8NWmk5XO7awG7mZEggkXquhSXdA2Js+AQyDmiO1OQ7ZtZfjCGgFQCsTiB6+qkGJJmb8a4DLRvnw
iAkMfJKCl94qxWbqEdemolB1Y5PaQND1ooc6EmhYQ6f4dN/Jb9MZqg/QtjNDx7bxkri2UvA8q8tK
G4PGHMDOWJ2P6Hh2aNG89oueF9J/MEe92QXWIuES8uf8FiW0cjR6m7HuIBlT940O3/ihnXTn30HV
lCfKS/OOvS2vgF+NO440lP/Vr+05lQ3FWDZMQdjQ3vdryF8yP3H79vFt5L/PCA1tY4L/OncwZgGE
q1bmwIBI1Xl1WwYWj7nbjC3WxiWBzUrLquf7m7mxOPksAgoJxz+j69JZf9tMGtQUV7JBDSiEgzEO
m28JJA7n+0Y2PJ68yIXPjEIIN8qqJNCE7Uz1UqiBWWtoC9ux/VHn+fVsNm69p/twm3wyTiWnlGW1
j+feKjYtyUIHMhIDyGI7P092ioXMTZYTqjC2lJBNRviOx/6QJkryfRbWnvjN1mJ//wGr05CXvRaW
cT8EbcNkvpMqqW8MyvRB0arpP3y8302tPl41FGCgsm4IyDrpeHux4RsZWqT3v95GJiBhwGTT8KTT
BVzv6Ow6oybmIchcdzrUeIw/RqifFu2cH8pY+zvtU89vO3vHa7Zc83e7q42kvb+EYhyHQLNS2oxG
k70h/bwH5d+4ZSQgBHAD/gln+GoPDYVb34wp6JgIcR9JcuNjaGsh80tV9D9FHUK/F417fHxLuT9/
eSjFsnUxNYbaax5cClde0eXf5rwvAzMdug8p3fQzl3x7SOw2+kDz7mGkqMS/MISM9DAUHeQk1+dd
dVEfFjnLVagWP0fR8M0davGU0A/dSSB/sV2s7m/Y7SX0EMIsPuTKb0a7SEszod6SmsV00ZNuAv4g
chh2C889FtGiHYbSQKwiN9tLUpXe2XRj75JGlBeMqe1OWuS5J8BdKml355zDReyN5v7KYm9+I6PZ
YG7JMehVXW9HPacM15jxCHl0V/uuVhRvtUmpwc2ao9cZEVKziXWEP6o+5xUPdsTi9BdEN3S41zrl
tNhZ/fm+a2yFD0YPqQpQkwMGvcoOtLawNNGrQ5DWVnRR3DT+oi+wQS3C25uT2HR92T0j9FMFX1P0
z4XqFvA7j4GzUMI8J1NRVKAcolz4rtUZb6qthOMhneI9Ftatk80Vx9uNnr6cQLredWbGU9OZM16n
o902J0sgO+Rbk7WYO12tTUMUWmSBGMjSumhlK6266G4xBq4LIUSKUp8vqJTthOGN/If3vmQe461N
krByoo4Z22T2zDGoEhvKrslcyOjarkp84iayU7ZQ272xqi03kXogfDZ28YZjyxJAbFxZ9JtHzfsy
qMPMMUvmV43EaCcOby7PxRPlnASYp1WETMtCK/s8HILSK9V3RjpC0lLoduGrQ4wc/BTvtYA2vxrA
XjkVKyUa5RX/W05SD7ai5VUqixdLEl6Geckzf+izao9Ddmtl4FRpUjNMil7U6sMxMwYF9tjxxgW5
ovtWppGL98Y8fYN60qzPldLWO+WETZPkJST+vNVuZrryBTUvJeHp5MVafBFjX35OGtUN4D03PrX0
g3ZOwKY9OUgBVpQC8S/24N/2Ugwiq+KJF0AhzKPapPO5RkjiWbFL+2C64x/3g9e2NQZYARxIdNLq
dtFry4vsGDiqUcDjjpbx8qVplZYxHhu9wXZRd+xteQqNEvmIAghFuevaU6Kl1OzE9fiAUP9rfj2W
1Cjm1PxPZrg2qewxp7+W8iz7Ml28hA6eaLvsU6a103sYNqf/8qnA6RBCgCABob9ezBzbw1KPtEY0
pYv+UmI7Pdmuk3zPx7H6NmbZXvN4c/MkPJWXLljsNcBXC4U5DsSRoB3nLD0rYYdaRTuq7Z/3nWIr
VMngId/xcAyv+y6ZXnljnMdTwN3pnuwyq88Q03YvCFtZh/umNv3v/5tav3fjXLcWq6T8Ci9gcqDb
U/uR1r+qofncdLuMxlv3J/vHq4mHPM6xCh+Lh6hK3eB9UMvZT2NZ9yevRZV0gCXjNDPlFPktJfLT
42vkDUW/GpucaePaTfSyZ3Ik5Yy5CHWdxraLju0o9NclBlfhQyS5Jxu69aLihElCKxr/kJhcG6yt
KlSGhe8HhEdHwqXk8PvVoOVfu7DJ/xiZ+znl2ax8lLOJwq+V0v3ff1iyZICiv8UVtB6iil1Lmeqc
5oWrxohuDIWnKgdnpAQwgkt1/EpI2dT7Nre8FnQA0UUKjEJ/dL1qpbSUniGTKejHSJ8PYZbZH0mQ
0ndVzjW547dbR5ExX9BgHko53EfXxrKw8KZQpWOhosLxWXBGlIOqOONexrdpR4otEzjILte3AW1J
CvK2oJidawBaS9Qq+3gQO4Fs68HI8Cb9XVJqsA+rWyAVsdHUA1acaB4+uMtcnfsGoRuEZ9LlqHVG
9TwuJfllYYc7JfSNr8Z4IhwuaHPSDl3z+9eZ6iwk8XQjAEJwODzrgORO5C9KWzzuIAxMs4mAY7lc
10AVRUS54dDlCdiG6KtjFHPh50rhnNJS7y4POyP9NMmoANwHuP8q0lhzh+6OlpDjhUsEqVw0ZtVZ
ydUlftG1QewVhTYCG2hIpsHRmZPyQasELBrdGWAU09mhKTT3EJJB/SBZ0HS/V83+H6kvtVxsN3fM
ndLohn9yvEGsch0hBLluOqjqULtaxEGHMzh7auDZe4vKKt/J1zetUBziqkVxDnaP69NGU0koS4eT
gK0onrNOjw5zmezxl2+4opzJBfLD/IyOgOa1ldIplrIU/RRUwrK/znrZvrVgEL4qbYnB+/6xce/x
ZKQWStORUL0eR8jMNhKK7eH2vQMjedKZ1sELLXi+xyQV+tFtLO3xQ449SQlG5Zd+58pHXG9KkMHk
2UGfvg3RfMzt5VU38qY49MBGvg+8fRK/LOq4OFAP6/a4u7a2V05ww2ojCfh/KYn+lthqjNc0iphh
EMjr4tNYwQ96jBtkUA92203NTlzZOBHU0H/BhCmpQ2hx/TEpP6TuDOY/yIQ3QOgYt0p/QAp0qU5a
ps/Nc12l9XsnqbXofP/TbjirfAkRsanjQ9m8OvqF1C603Vllxscojp3qpO+d1rYehaXD08pZ5wr6
VQhY37ApmqA05y0VvKKog0I1u7MVS8ZBdXB3TN1Ck7GFujqhjC9HeWi1l4PZCkQ0Oy1ILAp8/hJT
IQVHEqGjChbpFZaGeToVY1qYBwpAUMGXYanIMcEu9tNBa/dYFbZ2mMAq83pkYRi/vP626TzbMRUp
NRBQAfp9qg4nXen29K5urcC9JSeYQXMhW7lGmgthTUWe9mowwqX3rlc690lzYOm/7y23gQDsLima
LO7xhlh/Ry9uwJ1ToQ1mD2TB5GnFz6aap79qW+kQszeTf+7b21gVM6uy/gClOaLO8s9/O4VVg1on
PWgzmOdq/hfu3Xk+zp4R7yX2tykF1x7VFcrPTNHfQDqSVkdUQy/LIKkS422w++jVLpX4OU+j5mOa
h9YpjS39Ygirfvj8AZzUJXUWX02CO65XOPSO1pRmKYIiDdOTYy104CFh8T4/upESnwmPOckmSjNr
fE5mWDMTsChV9naTnoGMjm+L4ew9xaQrX5c7GehEk0gOuAA7Wk+faLYQnjr2TWApdncscif3xWz9
ARDLpPpRnhwY1vy2KT/yGX7eX+AGuAHbkqCflIKGuLp6q1siNft6VpvAVUZw3rEcFClcRxyZMu39
sur6s5FXzpE6vHe0cq36bMC99fjXBJdKfkg/g0t5jRg1RgpBS620XMpLMvkiUfvsYC9tuif0dnsQ
ZfYkUzbe1lS/VwcjcUCPtYXS0VfTna+MmHXz0Y5m10Mu1Jz7YxrpzfLh/hbfXom8sMmfqLlTQ7hR
s60zc1LMpmYcjGbJB7BWlfO3mNOsPk4Frd+dOH5rjfSXGWSeSCRrTGddHwy6QmVBVPjVuaguRrfo
H3pCNWwq5W6dfsOWrItAPovMuiS9vrZlNZFnRklWBe6Yxk+2nTJ1Whb5k7Lo2s5NfxvRyLQZz4Ef
jRcn1MPXphLC2cgOV0GlNu3Rqqfu89Ln7af7n+rWPbACtS+zAXK0zlu5h6o3ZRgxwxlkjiaOZWUr
r5HlDoG7JMqnQrTaDpZiwx7PZgILNw8Sh2txuSxewrnXkzowRGdC9J8Y+ewrQ4S6NyCBLD1EFpOd
54cXiTHeD8CHZKK4OvEMjzeFkdk1l4MD4W239C8d8IpTWPfta1bb4Y7/3366X9QxrFGq5TKscP3p
8izuKRXTVUN47VtqdMo5mpvpdH9RtzcRrTBJMgZq2oZwbuUfdgkvSGeASlHTVjvEMAx8quFauZTR
/N3R4jzya6d0T3Sc/7xv+PYMkDnwouWlRx2XWfbr1ZWRqYeQrwBDKMpheefxMPqSNto8vAcrazx8
CgjQ3HrMBEkM5/rATc6YVIycU7Nroiww5iQ+NJTKd561tx/s/5FnybctOM01MXLeZKC03HgJynGK
piMjOW56gNB88h72RIZlQTiAqAd4w8Pyeu+ScMzQQur1IJ2m4rVw4+HQOnHzIUOC9DhwV+68x26/
FWgH8PQ0laEnoTp4bU+xotRGgsgIClvRPaRUjbI+TKFovCezMu2Pj3oGWgscMyAxFCOgRLm2ZglA
2CnnOnBEqx8WKAHOkTXF77pcVXY2cuMWJxUiVQbryaG+YcwWY6fn3hx3QTmE+ZOb6gxRZXH3s9OZ
V4elMBmOVecoRwlGe5/1dVIyamLMxun+kjc8B4QxLMRykJIqzOowKF4aK/xJD/Ihq45dl2fKmw0P
ltgJKbcfEqor0KUkZJJqZv3KTPQwLRsrGwLYhkyaUDptRFDwynPcjdrOnXC7JvBTFAuoJTE+w3vs
+jMCqdCKHqbowFgi76ir9XjKSE/8+zt3+5KFOU7OhNLLkINpK2dBeCnVB2Rog2aqlL/G2J3m9x3l
wEvWjtEXIG+pAsmyNe/Jdchff516MqNGPYTRQl4KzMZdr86wG80RVT0Fy9hol7buxwvTwdmprbLs
vQKX4sNHEGI3AhfT6+A8ufuu7XVOJlpSPCJYPBfQMaTduWxb85gwR7OT2t58OIh7QNUzQMCp4GG7
uueGcrJGpngMthQa8UEbnXM7JNmjLi+t8P5gjoy0i0v8ekGxVdgCzJIR8E76V3Mb19eH+uHbDSMS
MyhRpISudemWekoDW2diM+haxc2XunBEER1SJy6SizZX9v+KvvKmd1HWZeVTVhu5u5OobOwllH7A
gCkNyCfsKnI2VSqyIc/UwKNneO5UxT0Yeqzt1BlvnFFSpEuVPyoeBm+u1ReLOBqMGXpqMNAeekvM
iVk4TWnbN1M0yWm2x2h81B1ZCmhWslcK7/RHV4c7CYcaBQ1TC1BviL+j4eN+LNTMfVdUevbX/RO+
sYW8keUnxGHsG8q5zuIhUIeuFvQCecZw7kB+Mqizc3dvbCHaXjSxmIVDSGzNcZOYRUiO4FhB1trT
5zhRtcNUVcoRRcDi5IxGfr6/qptITCOGdz9pgk1SzmP82v3DLp69cW6tAFJu2ztlRq1RdXNrUP/a
4gzp831zt5vI9Q2gg6IQT0WKG9fmPLUxui7VrMAjY0BFUeiIjzOt1Hz/D3aIh/R8QWHCcHFtR00m
WDWZuAp6LR3eF4kgi6yrducau/1YFNqAHNCo5K1B+Li2EjZMutZ1bgccvGehFt1Rseqg0VzlmKbN
t/tL2vhS3DA2yTH3shyDuTamhm6TuNVgSfnq5Gh4So6upV5C29/sTRptmEKFhbIs8ZerZY1mi8LO
9QZ7doJcAVD0szCcEv2LWoVxOukpS+0kWhvbSCMQqA+VE9qCa9heP8ROZkEPH9jUs19ofjnC17wu
v9iRCjy9E8peq2JjgWwiWR0Rg3/WT5raI4Oy7doN7Kofz52S9ucwR81sHMTDiCLZzZIjCtBwMSK2
hnl2dm7V6jxiKunQ+IChzRhOcNogw1lVuboT57cWBuxOwlIoX2P32kmghiiHube9QA9h0OmV5o/E
SfKnVtd3DvKGIRYmKem4Mpn9X+UBiSYiOx2GMCgYUQimxB2sUyda8afZRcqenN6mMZCO/AXAEtTj
9aqYLcuLGL1C2Cjs2vST0O3/UtocNAf47R8PHzMwdLJKwSXGo3C1sDGO1Jh0PAxS3ZqOU1VXT8IB
IqsI+3jf0k3KyBOGkpkhR+mk2toqegDmb2qn0cLAFlX6jbK+9QrvunYqm2k+tmm3XOrIi5/uG5Vb
dZUvSqOSqxDifcok6ybdUuY2crsYLRRDP2cO/dskdff4429PNPFDaomoEhsFLnb1wRKi0zBY3GJL
8Vc1Ll+BU0OgWgnHn5Pm5/0l3XoHxlxZn6eSzSDByufTyG2UPiEKR1oTnrTGKp8pCNdPxpLGOzCz
292TpiQ6BOQjdWW57t/q8tbgdf08KhZj1sminkL+5ZSRMZlw31/TliHQ9vA8snmy5XBtqI7MWIR9
7jBBbs5PeWxZTwSYPRGTWw+kj0qhTFbmeLWs47ygOTVNbuHISkTuI4MJCX/9Y9LVZ6vzPjA09vX+
qn5pB157H3MeDAMDCwSmyjTV9bIKpbGTpBmdINGGd30qjmk9w2DP4Nvw6qn9OTFb+IkoT1eL984p
x+jQOMbeoIv0h5sfQZ76S1CF4L864YyIEbIYUw1sOO9Q78ib/KBTnXwqRAwdZgUR8zGL69kPnaH/
dH8HNnwVjLjMF6ToFy+o6w1IM8W0urBypK8KHwyM8sRYPWxuItuTO9syxUeVrBES23NzBisRo4S7
OEEKGv7F1TObEhotwHIMtZ1ItuGtnKhfU40g3m5iZlqXDqIx7GglMvFPwbzPv8JpHqZ/JJ0jmnDj
AJdi81Z7x+OosyvEvIJsirMPlTPG70TaKzvJyO1asIGkIYkBJw/ezOsvlIf1klvZnL5C7WswbcWK
1IMZV+Me7eKGIRJuGSdxRCDHqyMO+rcZRmGmr0BqVCghlPwIAaDuP+pwVKYZOMUIeDpkUK6Xkygz
WXhkpa/d1E4nOBWWQz+Y2oWOhvgPpuQzApA9wNGbGQgjrmaY7KrsNc4dLXuZbCccDjQVFuOpbMJi
byj89o4hhCBGS0Yg59XWLJ19AXktt3L2CrNFZftLa9QHRVjGu6jNQewVpEEPB2VpUZIskWsQxNTr
vUSpIM6yZsxe2WaBzLw3n1IeUDs39O25vbayKqqGmc54jNZlryAgPHh97eTItGTn102S7yxoz9Qq
HFdKU4kE/ZBX1aq7V3cR+nuj6dsPszP3j1a+aVggkI2erCWhXWv9ztKpeYQZmJoiGMuidHT8Fjzu
TiDa9AmuFZls4/BrEKdCkTWtOjV7HVJV8ZG0vEydAzmI/daLrn649sCSeLbQt5Ct5XWkQOLOStva
yF5HcuyDVwzzKQz75MVNx70PtbkuWwIpSDxuQXHVVE0FISt7TYzlXZ6nR8bUX/pYsw5iCPfGkG/v
R4resvigM3UqIQjXbt4Pc+GUlA9fq8WKvzptuxi+jpKJ5qdaOxr+UEo2DW8a+um45M4u8eGWV0Jk
I9dKtAfafG2/VhkYMIo8exWNYuD3dicOGTi57jBQ5dk5AhtRWLbRyEpQp2MgWv75bxldh+JGLlLO
dAeD6jsS7upCcT283I/Cm1aAMtO1Rr0Z3Ou1FTt27alH7ew1GScPgW4zeZq6Ya/KuLFxsCOT2TN0
4VARXl1dxqzq1FY0AnAFs1cSOgsk06EL052zO4W2ZUsiRiSGgcqmunKSuDKLPMrn/HVoZk8/aUUd
/XDCsF38efCq6dDXFfdm6djMnzXQ7/5bMo2kHbTCUenSQwn6VinW8m8vSu9dlbqe4nO3q+bD+TpQ
bsjOCAVEHfpU1/u+9KrWK3mYvWaUuP4G1NycxlHpf9z/uhunE5wT9Ucqn2An18XVdFKaBNbH7HVW
7C+ZkTy54DmPC5qHUabvfeQtV6IGRPMXbAB4pNXGN3FcLJUo89dYd6tz01eSNmIG7LFzm2/akc5K
rionOVevUxtH1TK3yV8bJcyPMXTKfuwk5vH+1m25EXxOctvAPAD4vf5ATTzWSdfX+WtSG+8mU1FQ
+hGLP8zR4y8qHvX/R9p57ThutGH6iggwh1NSUgdp8niCT4ixx2bOLIa6+n2q92AtSmii/wUM2IDt
KVWxwhfeAMZBtc5BnW3ZZI0T9No82eVFk8V8qAJvPa1Vupxen8+9VVM+5Uq3RUUJm/mUdZuO1D/L
Sx0M1aFaywlxVsv+9T+MwvPC5ai6I9uDzgtqpeiGlBeAks1p9ov+aAtwP/9fo2zV0ij+6q2ZaOUF
hncWzdNAlDque/oa91ZMNXWVZwxv6La24yVMMW0ZZUQiNmqmwuQmQHf79bnc2Wekt4AL+IvW1bYJ
ODu1ZoumWJ/XKumxfcP5YHqnF1b1dV0Sa0/f+e5o6tJR7SkdRMr1rvbSLLNdVFqfhxm+c+jXthvF
RmEdhszWf759Zq4CglDQJNXb6pOkThnndEHWZ7PzxwdQw0UZmqznT6NMp51nTP3u68xZ9VHJR0Bf
qwLI5u5p9Xmtp9aRz2kO1BtIwViMl8mf9fZYuHFmHwut7PTIx+91Lyi53SbKZ8UNFAKFzsj22pOl
bGxQ7OazjVP6d2dGAzF3YDy8vpi3o8ByQkaVvRIACt4Wa4t+6VlPTDbMxJUnM16bJ92Y2rdCvAAd
q1gAjxUl7bGNhTWj7mViC4wc0bz42GC5/iS01jihkr73Tt9+MZUrKwG7lzRwy9xK8FNcF085+JWV
F1mtW/1lap39QdiJfzBWzfjbnaw3g/SYHzZ+dBpp8FBf2kQ7JmTrdSmYH33MTIauCMTBXPl80ZSB
oPemaUp3zvfdecL+pJTKRKlvXp84v40h7CovcCub9TBZvBRCJuYNPYaZJ2q6a5i77tc3bxZiC/Rv
UdOx7JumbiVix+xn7CiyxZ0v2jyKDzzEb7Yho4wPFQ6woyqzg7S5nllAX86rKp1RUg38tpuZj1as
dw+vz+Xlmrg+2qir4RnAA6noFVv8QuBntZ5oCKiXgz3MX4rUKmtEu5t++FoBocueVDtvDqusGacw
ht4o5kjmNqpvTqcjS05kXsXRYKzqfxvoNL8PMrC3Zz3tvDm0grovj7ZVjn0Irj9wUB3MKhEB7C/2
nq3by5eZsBFUqxtW9fYJlghRNbbHTIbOwrgN4wL7X3yU8TEdCtnsqrTfuTJUpgQIXSkqoV+6+T6x
qIPUqdOzdBZXPwpEzbrHQE86/8GNB8O4TDPK2efJsEXwDeW8OnniF1ZUYGRGdR9l3LoGk+xoXWSt
GPBWoROvMkEgUZu/msITWuSvVly/y0Rvju/HIp7zqB/0Rf8zc6sqfnLtrpmRFkDk/9s8NsH05paS
EvwjP6JwadBi31z6ztrLTh/04ly0FXn0uGanOkjK9wNltOPru/A2kObRhKhEwRskNYHN9Vric4Kk
S96X5zGwF1hfsjz2va+DIWD3xI18s3UNqH2IGaD/qOdA3NucLb8NCj02ZXme4r6vDtKJS/8wYl3x
2TRzR9+Jp14MFa7PGGxPROMBSONJjIz89fRiGo50KBiuwgRjrEMpOkv88AHpeQdRUOiuQ7StAw/C
jY0EWDjkg5NEs6P77Ucs20E55IbIflm9i3gtnfrBPRV5YliXdOlQj8EuI6i/BVluLoc28cx/8KGN
KyjVTg3nPrG09OiO1Gr/KE2SsZNmSXgZS0pq/96pp+Af6k1dHpr8nuAsxaoPDyUKztPON745L+gq
0PNS0EQeWniv14sAybTO16bOz9My2uHqafmhCMo9pOAtoA6kF/uVsoxi89J/vR5maEdZWDaUtx5/
lOPaGwgnO7Vzyvu4CqckNUPMbvBDqh0EeOguPgyrzHbgMLdThdqLH/QLFIYSw+Y3pENTE94CzUeM
wXwy5nj4YqTp8OX1Q3Nz31FWQ2JKIRTJb6ATX89UBMg6IFbRIwsat4fVX9sor2LzwdHTvc7JnQnB
zORlB6monFk32U3TWAPWF25/bkvz1+gUNhIueMS8Ph/1h1ydEuZD1kkpGia2KrBdz6eo0tZPpOzP
HIXCPraSI3qI7cyxDlo3zM6TTuXAPc6UOn7T4ivWcBgsbe8VUd9m+yvQNmF4+GnMdHPrIag1dJ6L
3HbVNc17J5vyhyWv5gdsGR1Au8JLHurFL/8pZlffARrd3IJkqUqXD6oBoCYaEdcLsFJDtXuM2c5x
Kr5PhS0+xGL45nS+9aznablzK6nztpmo8vjmxSQLU3bz16OhZxrbWpaNZ63p3cdYt6Cdt3mDpn7W
VPEQrXM9kS/3vty7D2/nCY1T9dnR0gNDvJWIQjvPwcIIAZSqR6HzafYKptuZRnqauqktn/u46bqd
2+f2szKmaocQESsc3PawVDi7jXm8nAc5EbWU9azp7+oej6vsMOidP7yb4nFtPrRtWnxrmkGup9d3
9+1pJU4gYyduQxSL4tn1civFDmNeXKVDZDjfizLQn2xdQrvC3W7n4b49rUipc9WivUyUSpv3eihu
RrNNYuSASjObv9oiXz+sQId2kpk7K6qKHYBCofxCWdtMiB6W1uslt6i7Fo4WIfKlj6HmwWI51s20
9meso7z4U0+SOIU6ldZq55a93UYEXiCJ2cEQARG2uZ6mEIY9lA2MVbikmiqEFO4QNYlbZe8gECHS
2UMa2uNg3H5GlWSQ2iAqi1bFNsgMUA4EbzvIc1JMzSERcxAGOrBA+B7f3rphuH0ogsN6wgroxrk+
kYtAhcWAQpo57iOiEMPR6ozkwWgXeyf7vb0K8MqkdccG5USSbV+vJDg3uy7Wzjh7pROj0yXMATLL
an4mNMw+W8ZUv581I905kneWknOItCoUfDAVW/SXgwbSKkdAo8E8+I+If8RruGRd/ylt0E98fTFv
NytoJZZT2bVy1W2vHE+JoJWdY55lRSEdnwgjJc1P0SA+dcpdPErSQogPrlHNP5O5MfY6iHfmSmai
OPL/F5q4OZJebBaQd/XkbCuLL3ulE4+H0PJUYwi5cy4B9/K5rm/2lzqDMpskMybGuP6cxjSutUyW
6gwFaao/NNqUizAZnFQaoTuiwPac9JPMD4lhDMMT16XuReaQ2tofZZ3lyddOQEE926AHvk4DgoRt
NLtSR8tstut8OIx+LLOjFyit2izIp/KbG7v0XacyHGoS1JRd9I20so9UsBvJJbG9UNhacUIfo3ou
eNz9U7F0wxdQEFpUuEgFV1Pyp2+nU1hkCD9g7e2VBhLuKEKE9tSJqCmdcgyHoq+aqJpd7zC46++u
cJp3tDK94qNhZ4aF6dSUv69Hb3kMnNJ+GkYnzg9xq588LZDDEZu8HJa5HIcACB5yuKHbx1Rr9dYy
8o4f3/sf+7Kd+qgKumROQwsErh8NWuA9O5h3QtkZ10tlmfMaCbFq//bjRJyeQE7+pbzJ42jJjOB9
7Y+nbAaVhBR8F/rCKL/0o0V+58tJWpHHgxomsksfLGQmRUQ+67sh8ma/6tiwwtFEkDd2Z+foEzIu
oWxrfQWOhvPGGlsShJPTHjIv4Zj4KBmFcewu0YwriIjGxj1Za4l2pF3rB59nVIsgwQE1r3N8av8W
/A+/7LXDqHPo18IORWAWdWTlaZofi14M4tlHx2qOEFBs23AqZOA9luYIqdytYmd8yBJZ9QerQI7k
iGtHYjxSZYp/2PqS9gc+juAE10Is/NRUyipMBxQhosHWtfFJGEm9nvS1ksPO7XVztoBYwgmiBIrq
IETYzUMkhbO0mD3CTBj8lNYTuIMvZj7kdjh7+vD19Yvk5m3lPYVkBUbWRs2Gu+T6bAVpa5izLeyz
RtXy6OTie1lXe0rsN5Ew1BgIftSQacOgTbSJQRN3zXW+ic99nKHbaFGaSSJpy4EpydL/pK9+E0e+
PfV861Yr6o9a3erpToB4876qX4HZKj8AiNgNj7/xG0ujeemfF9unw53o9PyCfnjntDlu5QEuk68v
7e13JMBFNdLADYnK2o2VySxGJGQF2m3GgEKolyzZ32kdB+2BQnv36fXBbr8jIGdVBaDfrARnNhey
3o2dnlLBOU9mXUQe9LLDUjd7eOqbUYC7K4VX5dACvnlLbqSW7CQJF8Z5aHIcL+0uGVLA/HEd7Hyr
m7VDBIFMEC6vx4jkCdfb0mrKKY6rxjlrmHG5UWkXybdpsvp/RmfJdsDvd8YCz8xDpqBYKE+of/+f
zvnqNFM6Zb6FZc/QyQhBtMF9WvPSNA44ee5qsbx8iqvnDIgUpQ60/YhmCRc2p0GbVd2oEpQUk3YS
lBSnIA71ohLzhyBOsTxd8yr4DMQkyx7NzqTm7Ui/mp6dypnGQ49nhfuuSYjZniXWkNnOyt/ETvw6
+n0YDaislYW5Xg2/T4qehx8eBcXgI05N6bu+1xeQfVpDwWfx2ndVD1trJ1m+OZwq72cDKzwSCJut
VtpC7yzBwcs9r0vqPVR9UM4/kqUrvQfRxlNzJJeXb+2pQ6kgb6MgCOzqdjN3RRYPuUga7tmpiE+F
7WEqNkh/3rkHbmI1cDV0UtlZaFNAXNqsqLDr1J/ifD1XtREfM7j3YT5Pv4O2CL561oqYQRPbn5J6
3usV3p5WpdtK6Zi9zS94KS39Z2NbeVHA02218zTa7nkY5/wZ4Oqba49UaqDNgiZGWAiE3iY6E07m
90acg9TH74V97IzfPNHF72Wwa8VzuzcxcMQyG1KAYt9skaBBJYax9rqARLAoPwvh+Q9pPfqnzp+H
gzfq8T9usadLcbsxX9wt+HD00pRm2PV5EOOYtSsdIgDMqfWebKnEHG02vPLgD6u2PqRaXwVv3TFU
V2mKg/VQyT0753rMmmZFbTtzcHYMo/0+ysV7tLK+ioDf4M3sJmX52BVl8Vdbj8ZO8HFnzzA0bSCl
M4+I4GazVt1MIXayg3NcxOYRb2jrGBSL9b+MQkeNah8rCvH6eoIQsrJBH5zgXFG4DmcttsMBXZqd
Zby92LHT47Wi16Sq4v6ml7bo01igwhycFzNuIgSn/EPfzv3FbaiRv/H55YsxAOkJ1VH+cbNLvHYJ
JukC6R2q3PiL2mL7rq6r9N/XR7m5SRgFpVauZlCpoJNVnPWfA+2lTTPKQO1/auDyl4eTxwdLDvX8
q1xTf4g0j/j3ZKMrguahZlS/Xh/+3t7gnuUYqEiKq+V6+LVthN6IJOChjLNoqDAr0aVYdh6gm2CR
SXKlwO1gDGjI6lf8Z5Ll2soZnRL/XKKPYR/c1BvAzhUyFaEo9SAPM1yx/rLasZP0KmE6ghIo5j2U
zZ1fASrFJnSj6o4Sx+YIEoNDViTNOg9i8p2jKZb6g9DlqoepPQcXaxBpEJa5KeUBhfDU/G5XKVbE
b15wJc1Ls5SSEN6amz6LoTXcDmIIzsGa1Uc7jlEWC+pxZ5Q7NxxXG1EWRS8oads6tRZ7c2v2PofR
n+oQD/OfTWxkoWE1P43Ve/tDTw8O+DtXpmozbgPVNYvNfEVNFI7cpL+HzpE8AtId31s9ZmqeHe8R
Ne9cAqrUT6yqms+QG6+3U1skKWW3PD5PGN8hRQA5KZ+zIPR6V+4U8F5W6jqyAxRMYAwzBM9J4K3X
YyWLjqoIbp2XYfHlcCh4M5XcDX6oYVLU1qfFK+Ly5CJs++/UIEfwwQ1SPwu1Aa3UMjWnKUotdP0P
kzG30/emLobumy4LIu0UhdwqrFt/9Q56EiTOh5blXT4YDU71D9L2ll+EdU71UE21yA8T4h/6RVSj
3xyKNaZFt+ApLg7CxXTisZo6dKytecAUwpw4y+HU9eP7edQSOzI8mRthEYgk/2iL2gMX4/Ru9tDS
zlgiAybGeJjATPqHsoot+zgPS/136aHh/yCT3po4pPbURIFmOD8mXKbrcA5GuzvoMFFA3mlN3j2u
liubsAvcRKAkry5no5DL+jzXHrK8XktktrPHb29Osk8ATCo/UhSFTW116nUBFB1qlZ/ol9mbzMgd
Sosij4Hyeo7ezEcFzHlHE3vP0P1OzPJCnOTeJLsA+nC9Jwh2AYm2nC4o1+sR7Y25pjWpF++EyMSx
8C350YgLP9mJp+/c1eAYaLpAm1E1s822L2bEMed01M56H2T9Nx1HEzbhbGrVThR9u7JAtrg4yOsd
1RDerCzUvzk1+im5pH7cfa66Kc4Ozjyu5ePYx36RhiY9yzF0ar/zPk0+ZMGdUuidmZL2QkNCVpz2
1paKheukN3ldAvtQiPxbs+r20Womd6cKeW8UGJtKulxdJlu+01K4+K1ylM/zaifHLF2yyLaHNzdV
0N4gd6ceQ+xFF2ITsQRBR8IyQGocpr6eQ9Mr5SM6O0sSaV29Zyd3uzN5wpkPIqdQyMDcXe9MHBjt
uWuq5DIki7hM2DQdpoU9WVZW+kQBqvmBu9aeo+ztOsIVQ5OStjlx0o0sQC+XoGwmP7kY5JNRMPYJ
gVn3ZjSu4l8jo0hlS2n6bDG/BR2Gfkrd5JL1ifFkV/7wR0BvI0zNmbLr64/0nWUkIqOZDMGcYsVW
uJHCcwLSyEoudiGjxh3/RhsFf5ZmfHKpYh18befA3T5ozI2mDeBPJV2y1ejL/NJI47hIL8Hs60mY
lFkZ0SW0vwUdYfTrc7sNDXjK6BorayYqFttdnxSNJjvsby/O6NFCkcsPFKV+x64+hbCw9pyRXuCk
1+8nlS+s1YBRk5fT2rjekYuHLFLbx9p59jsjj4RKm8+uMyU6j0Wm6T/jYuLmROM7LaIEuBKS0YDK
mocJSSg9HNLSsB+MwnHG40jP5SfyxDQmxtlsUHFqRl+LXHtt2t+vL9KdD6JEnPi9dJ3IfzdXrYva
umcNnYuoPMrydNh/54CnnjOz3Im/b69aKkZwFbjN0aiiOHO9PGvA8zgFhXsegSxAgqSv9JkgYZmj
VPOtD1g5iPNSde7Hzk6Hv1+f5J1zi5wvWAkkn18KV9dj+3ZVuMuM0AC5b3bKR1cPqfoFO/vtzlIi
GMKGo9UDqmYLLJL0N6cOhvQ5yzz3XbXqNC1gYM8/oJvE398+I1YR4iLJjMJbXs+oW0qToMD1qDit
9TGp6+G5tfy9G/3euiF0gRAyQ1CF2WzpLl/qrl5S/9wKejUtIATCDXsvvLlzTinJ0ojHF04p+G3m
MlhgvwaU7nGYmf/UOvlpaZXQIrlDaHWIab595diHXAxcs+Rpmyc/zdvckcnknzHu9R9Fk1vHVnP2
EA739gIiIbCn6Pujs7IZpZ3MCm3MjqaB4y1/rHSJfBLecEYW4t/X53OLsQJhhRIUKOYXTsXWhTOo
5sRtNNM/23hctCHiP3V5CHwxPtWOJ5KD1Rfzj2YizwwJ/PMGENo4ZJHuIo91fP233Nsv/Azc/VT+
Cyb3elfOjV+PpZD+OdU0g2wvWSPbbfzH10e5t7a8+3RjqH4GyCdcjzL0qQffxmXCUz6FmjuPD2Vc
i9CT817+dW9rAg0nh1VqA3T+r4fKY2tpW4vGBJjI/o/K18ezOdniO8KWZug3ZvDp9andeY6Vmypp
g010w5m7Hk+Y6+yUZRvgJjLKWVEwusdGGiAp0mb8QnO2ilLRvlmAX8k1kDsrFQI6JFuEXDYYjbEs
ShzFz5E3ioX2bm6q5ui7XfI/3FuqCU6rgoQG7eHrCc4wM+M05vTJiXZpYoxeNMh2z4Hu3j6kBwNg
Fh8RVfq8HqXLknR2evahsQzzs1YX6REa/l40eG9zKFE7de7gTW1bIQm6t0lbLdyOE7t9rrPpY5Y2
9bvF0+vHJKnbf17fHPf2PXmxEr0IqNNtRd9aswvIfTnoOcHV45oYztdVRxjRTW3r9PpQL99hE8xQ
PQLR+NIDZIrXK5j6SCjFUg/OlrNgFMfPKT+KYLSMUMrZHqPK80T1vu8bIw19zUIn0ew6qYVJo+Uf
Ufezvo2TWxvPa1GUXwMnL78ltrP+aJFg+VHHzfoR1kryM7fHXI+aQftOKdQ8VXEO6GAI5vZhjjtn
ebTHtqyOLV7Q6O4XpfSOnAXjh136o34Y/HzEcSerqK0ZRWXv4P9eSG/bJVBYH3oeSDFyv14vgZfA
3BQx6YxZpn7QhWW56CLMewvAL2IZDlUmWpZL8ss3S9f6M8UG3T9YjWNDoswAO5x1NGFr3jCAGp/n
cna7CCOz5BFeRov5UV/L9hQPQx4/1fo4pB/tUiv/ff0z3u4YxaKBpgg0i/B+q23Tw1XuBppEl9Zy
s69zZsehX0h5wW9p3LmU74R3KE/A7FL1dyU+cL1aZurVoKC5lBezkoAZzMRAUHJeHvtmbYqwzWb/
SSzrdDTMJn57vcCisMwFDaaZkuOWfaWjjyVbqthnv4HpEuQIDxBgvz1OIT6hfQM4ijAWpN31FIvC
gZi0wDRfikVSg6PWDBbDFGN1yOusJXAV5dtbycQQCGQh8QQe9aZp5HlVL+slgck4UFxyhzp7yJtO
C5cWi7PXN8vtdQZCm2sMoAOobX1L3tHxZq903JsvOc0iwP7rcASjKZ78ZrEOTVEuOwfs9pIG8Aow
W2dUzAu3wKgkie1gWNVylst0TCmrHrBz2wtJ7syKXgMCdHSFqfNsP1pjrHqxNml5cYpsxaHTflhL
CnRLFZ80f/F2gst7owGjUwKkXBtIE11vkZk4uQnMBmyGUYhDp/f5yawNBOCN7k+3cvrT65/shS57
fUehBg2lBMquqhZsFS2LhWSry+bqYlmjmT9QmgBZpUHgGx5j26/ySzk0Tfu82PAWwkVCPzjMqxPY
Uarn9i88mH3/OOvNUB5d2YMs8vq1fz/DwwB9XOTzX41uNT110yrzqIRWS/XXSqDQH/xZDL/slmox
agTC++oYvEyHammC7I8UUIz8SBCz9gc4MYV+NAvkvI6NlojPoneNLuzm1ezDauF2iqxukb8TNvoU
ymn0P7qgVnGYNLvpq7Bt+M4OqVv+4DbwhA87y8fX2KweWRpZB5G6MnLdPHKLlprSxm37QgcjjQxL
ToeqqeTx9VHuXcIKmKu6y9QFtlJmBtCWVjhdfUk0x/lqaov/LZ7j5sdoZ29mpdMhoOnKX9T5iEnU
kftP98kMFi6lTtQXPTGdEH2D/OiM+p7ky90JERLQX6UncSPbl3kiKIFp1pcVmfwTUp3ZsQZReKrE
bkJxbygIroqEgHQOWcX1hDTNzVB/6utLmsXyQcNTBIHYrnhoIWHsfKY71xFJqOpXKWw6cJrrodI6
qLRUs+oLIq3i1Lt+fLIpAu9subsT+s8omyYo9eYmb6qlvmjonf8lZiA0w+QZD4u55jv3672hqOsp
gC3VnRu3lCGrBx31bzbDMH7GNxL/vjFJo2WZ9gya7i3df8OMTVBfLMUMxJAwI0nM4gwOIYvKQAue
Xz9Hd0dhX8O/JPW7ISokVqp3Gh7xFwuj7JBcU49cLfMf3j4KAwB+ow2GsNEmjummKXcn02ouZenG
Rw1/omM/1nvulHe+DYwWpkGsQvF/27WkZJBmXW3Ul4pWU0hDfH6s/P5zF2vlmxsMSMgAWgW3SIef
lGizrQ3qQ6PwOaz1MmU0SI3kKSmEv/Nx7k/o/w2z2QJx6o++M+j1ZXLL30bumY8kAXOIdteeQ+S9
kcBDUPWC5WkhLns9IbQOm34VWn3JReafoCi1Y5RbifMRiGHu77zndwaDAEmSx03HDt/anAH7yvKy
d9uL6ZfTQ5Yho9K0Xfmz7bw9iTAVGmweIzr2iFqpx4jdp7b/f+5ub0iCPOjS7qKkOFAbXowP47i6
524tjMisMudS+r29F0DcGVRpeyttVJMy+yZeaZrOS/xp7C7YAmvTaXSTWBzSIZi+vH6qbgEJ+KhR
qVHw6ZeS2PXkSrIis1/dmsxj+bgMHWKb+q+ibaBS5s95Y2Vhsq5fsOz+9vq4d+4MVR1TaCS0EiD7
XI/rD9q65PHQXKhaVd+7VWQf8d2pjzujqEvh+tsRR4CfQUZOYeS2UIfMlXOZcqIv2ZqN5mezlm4S
tTYXPbXFuu0ffD3Oxae5tVL7nXCAB4ajPSVjFPDWLBc8jPP0vSlpYjyPlbkE7+opmfpPiSmy5p2M
kSIL5SLTAXV+MX0DDtj9HQR5njw3tkyqs0uR1nuwBB7y2Ic6LWFMwic/Bh0ATOB6UKDOOkhsI9Ln
gbRoFnr8ZzrblRvq/pr8400LXklGOzXdl9lr5SfTqcrpJEtb+1xSqsJsdsizf4OuTaeDG+fmD6Md
5/TQe7MrdvLI2xPHUoJBwsBIYSm3XRQNeV46w2VzWUto455wx0g4cBuKwm52Dvft5rgeanPi0lL2
Y2ZnzSW1vOKI0fl47KD3vvmIMQpFbYXm4hXeVlK6ZUEwMejIweNEezByy4pa3GH+h1GoavNywWnG
09K93ujCFmmG0VvHJbFK73Gy0qVFWWJ1851FU3/Qdqtz7alHhYSUbPh6oIWtFjs9Wz0uOiPq/WU4
dMuMG7yt9eIJd2Jp7JyuezuCG1gxdykt0yS4HnHwy2waSXovdjr6vx0v775ZzdjooUMrYmcZX/qd
N9MDbYrLDqHgDevTC9LC0sa+Qy+gc7Dvc4qh/bT4bbqeSJ/6H8KIRfvVX1GaoiLlGvVhGO11eXBi
P/veZVWrh/CQ9frg110eQBBwJfLFsk9/ltAvgsjveHsjyBmmRXM1cKaoGGU5f3XtqfTCcRod/5RK
eAWhGOs1+MzFXawPNnKtZpSIZIRQTE1sDW0/c+yHMXF7ETZcouKAQ7PUoqQ1vDXE6s9sDjUGZIkf
+lQoxJPuLbI4mHWaF29++iFQwjpEaAnMG22I6+/DIijHIsn3ybL2SJFSOxZBXoQ8dHsiCHc2H11/
BYQh2aURv4nRGzg47tja3aVf8fgohwlV6MGa6ExJ/UGWydvB9SguIC2P8pay/N1KinmJmdI7XLqL
k9fFXxJhMRG2SdvTuNYybQ+LfOc+YmpKGRohJtVBvF7IDOUgt80YTdflEEEcyyMvjY2dMs9tnMGc
PMCxYEsVdmJTxQootPQFofRloVnzmU3afCtENx+4pYpwthL5rk+D8p/XX8g7Z1jl2R5AjZfiyOYd
tmZZGFnGoE65mOGkl4Iz4P+2q1ke/oeR2IbEM2wS5FquF7EOuiVuhN9dknEFjoeORed8yCoMko52
xtOys/nvfTMCDL4XeugUyzcBFPWqPNfR8rlIfY6PFiZIH4xA7hlE3vtmNKCUU7fin207DUFu57FT
tf0l6HTp/O1ATZvDcshwC81bvwkuWH3b/lEjAtsDUdxGbgAMiZ/Y/ZCByMKv17MwJI6zs9dfJnOq
/yx4n5ck1OAZaqGWNEYRpvUwImyU54UMrcTT+jArrNTdeXbubSCIDkQEtKeUKMH1z+hNo0mnoewv
jtHYp7a3m0/xbHcfHJn1T6/voHuflAYLqR/1DeUmdD3UmCE2jw1Mf+mKYIofEic13dMSo0BwfH2g
e7cZRo0KmaBoxds+Zi8MxMUdh68KefM5KbURXEg3dc+BucpvLnDLHfDNnQHRQaM9q06/auhfz8zV
pIQcM3SX3JsA+VjZX0FaF6GfFBkY5T3Q2Z1PxiVNJZkmO/Pb1pOdOJmBXPAuNJrVfUqLThyzYfA/
CXvZCxrvfDL1HtDsU6KbICSvJ9bmmHCZM9cLyEGAzYVehks92W//Xogj8vyAuiDI2vbfqjIzZvqK
vD684l+odUg6QFljvnfmxf0DWbY9evttT4Xa1/8bcNt9lmAiUGxyu8vYGCWxSPqpKcsvEjA3iOp3
YLf+7QJnpwN9bylJZchk6DoQhG9ec5HVLKHnMUmpGX20rjKoIqSVjLeXQLhMFNANRBCVkO3NaVhx
Vo/kP5c+gJYat6MWxp1RR/Pa7dV571yfDAVGEH4WfIqtuZSWrVofL1V/Ea1FL93X5/USxEX2VLVr
8bzm5nis9HgPAnJvVDJPahXAZ6CGbTalFztenC/pcKlXL3kUxWCcEnseT8K0xcWehu7Rnau9iOX+
oHRw6Puh6Lkt98xVkQR2GfeXmg7HU9/JKTRFbCtlu/6Q1by7ZbPbObo1vWZd0TUHUMOtSZVk80gY
q5UDMWuGyyS7rj/FWtE++Sz1J/TGQe66zVAjQFHWh163CjDVvltcICThxZY58M1fv1bv3DuAJwxY
HvATFUzz+jLIE7gjPNn8mNoFqNEthxGQcZRgGbsDq72z2Gj6IXYBSw2u8/ZtjCdZ9jOCd5d5mMtf
maUnf2LF2D7D0s8/BpbWE4Q0ycPr07tzQOmb0WFFnJmzs5XEsbuJSMNuxotmy+K9rGvvGT55vTPK
S559nQhRRkByVlVsUO3dzs0MZow4bVbR7dr+WC1GiTh+7yLWgPMoXqw5rPVSHsoiG59pUK6HaizX
g1nW4jRWArUwRFirt31ZiOX4J6gGs2plU87chP+DdGc3Hz1x1n0qK1bc1k+5DNKzM8s3sg/VUADP
ydaV0zB/2wyVtRkA1T5bzshCaqEZGEnIf+2e3vQtX0ZRbHlCANYZWbfrrVpiY215S7ecdavUo9TR
+xOhz7oT8W+RDAyjhPFgrXAR0ZzclhahKBRjn2XybA1UgS9l0Kb9w9yvHnchbQJQ7sYwNI+tXVvV
0cWu9FemDe6EGc4k0KqghffbLXNZf6qtVKZVOGaj+7OAz2sdLbv2Lji2Gs2xgKTRH4dE995oLaN+
PzOAPUYfHMuSbQmFfqpvtKuznuvFpfIPFyPhNwhQWZVV7mz8F+ud/2x8NRhnGugezxI7f6uEG1AJ
tfUxt86ta8AXo0LWIx+8okPCPqDP76IbN5T5Y07RzAxLg/rwCUswvYsMM2/EARch5/fAYzT+MVet
m31I9GIqDnZXp8imaol8CNZ18sLC0MS30Zy7grSrdHszrMbWt45DNvbFt8mQWnewHTEaJytFroSx
17zZmezmqqTNpaOfgwWR0voCtb9pDrSxS4kZe6rLNPlISQgxhqO3/BykKXZipzsjqa4KcntUcGh5
qH//n+p2NUK99ytzuFA66niB9T/trqdVlGiH14+Uxx+0+Xxw4VXFgZobXMPNU+TC6M3bsrDPVoC4
C3yefDxITU+i0oydT5OVVX83Tv9Glxe1aZC0VjBqi+mRCV5PbxZopGitaZ3JwAw3tEFHPkhYf1Vo
D7uknM0L8DIYHQKI9jA5KJKqJfjPWjrWMARFLu0zkmEWt3IqDxCp+53G0SZZYBTlscELwLkjE9pO
Cb6+2XmZZ59XpDGf7ClNvlil7b9zMkM+Yv877/DP7o0HoFOR+TjibMbrWWVlsKDygWhClsVuCGyp
eTbcLH+yRALeoO73BPs2wfXL/HwaLjiIULOC0Hc93v/h7Lya40bSNf1XJuYec+DNxpm5AMrQVJGU
KEPpBiGpKXiTsJn49fuAM7vbrGKwts9EjLrVMgkg3WdeEw9B36AT5dzyROk3lN7mXUu76rqBqBg2
qPPc0Z9fdj3K9ReusdNw6d9DY8/yQjsCenkygX1j+pBc8RAUWtaFbMt0P8TyuUep63rO0urQGU62
aUnJ9kUc1LhcBvg9KL77+3vlbFOuUmFrvzsg+cR9/mTVDjU07I4aInTp0t1ReJBRDO9ko7XNpRbx
SRnh5ZVXpTdEn1axrtOkeuoDvVlE4tx2RGxhVTb6JquaelPNjX5lduPtODKwGirc/9ImuVCleWOu
aX/C2QErAwPg1F6zgvdSOoOJD2WzuJHIzGnPFuLDOvmAEFCbbuGxI7tUjOrCuXeKzl5f/NXQJ8ts
bLve1UTq3nZCzNvBUEiOFLpzb5utt1tA2Ecx034zzfUY9WJM9nbyF4FWL4/AGb9qbsF7PiPi2rB9
i9bP3dssr9ydMIwxSntxUetzvSxen7w0vyCrc5sglkC372RDEdA3aJzqt8JwpbebupgiwyCwQdxO
Wao3oYfAZxuafWbc272Y5GYa6JxFXeBVQ7S4GJ1dyGXPpx0CFT0RFMTJZs1TRmtpIv05lJZ+26ft
7cLVKm+s3jsSP+Pb7Tl3OXoZF2Kt87OZQgTrfP3OAC9Orx8w1gpxTpuPUDnlVtNTI8TIUF44Qc53
E0ckAeoKt6RHcVqXXopS0NqLrVs1OnM0tuN03YPl3dRlnOwaANHo3C/tD3SqKMin0yWFujdecr1f
VzyTRVh5mk8LtVC6yir7tjEaB82jIDt4ABoubJ03R6ERzrlDCu2f4gNrw6m6UpvtW+Ju/YavXnzK
k8K74Ij0gus5WbY06IiAuOcoUZ9WFlvchJHUa71bvQnK6VZkhZEggSaAteHJ2Pb1nam1vXNEuHFI
jip3AxnaaZ08+4uXxw992446J1duF5DzvB6NgzRCg6t5rhWOYlcaNELdCasu9j6lYIBVhBBw9pTp
Ppp3wnEEGFKtqHTvQRhlP4eZovAUoZSR/9KtdDKvbW8cECzQGlf+RSFZDgbOfQ4ovt9LenByNjkp
8DqZ5PatFH59J9A3h0vtFd/ev2XOIzJuMDo2NFJQ/GAjvj4XKKXaLbID9m2dxPKxKpbhMfEH6PKT
sLY0nqddp1XT5v1B39j6eD6s+FIyK473k0FtM/F6c8E7tzWG9sp0Kw0zQ8u6Iq6w8ZELsm0X+HmU
DqK4JAHxxrqlM8qFSkeMmuTp7W6WTYYpD45/WJNNG5TDnE0xVpcEY98ehfsMAWeK+6cHjT6wTsGi
e7dyUuWWzpR9g//apRL1C2ftZHdQTCK2pey+Ms1OMoTM6LBESGGA5UgM4gqjgcecDdyZZNfvhJsX
35ZCtx7krGePAVP7g7su3UxdP/1AQls9vD+rbyylNVWmNk9xnrryab4sSqzfeg3jSiCrN3RFjn2B
l5APiTQdY3kXaFa+e3/I8xiJetbK6oR1AaXpNHBJkqR1oGijg1Zr8XEYA3ubzXZ/VdtSv3Cqn08p
s0l6xGxSEUVx6fVGyUYnEcSC2m0J4sEN1ei15qby3Ny8ENqfvxPT6YKHgdrEBXlWrvNjSXOs1261
TspvFbl+EXqiMz/Hc3BJV/R8I65Lh4ti7VxRSDrZiPTo9DpYfMaK89qL9HKy67Aq/EZsAEKlfajb
XdZHiPYoC0H93PyL5lMccg7YNxJB/gl6/zQICJpl6ROjTg7YTfthS0V9I6V4+qurhEHQaiWJpltG
IfT11KVZNQw2EpMHr2/dsLK94RN00CWqx9S90MR5a/IAX7yAEzm8T2kphsGcNXgXHJqmMq86rB52
YqicmyZNjAvb7c2hcPMlesLIgTTw9VtZEBhJiQbo7mP9ocvs9opS8ufFK8WFQur5ykeuBmT06hoC
MOn0imiDIU+TPkgOQ69rx0Gfqh9Gateb9yfp/PTgrgN+htbRi0jPySSNcSYL9ESrg1f5q83sWD91
Qy9+toHT38k+GR4ECoEXpuv81dZbluNqlaRCYeyk3V4pXMIKNwOu6INlgjHEv8Ky836+/25vDAPl
ku1FhM9LnnbAJDwHbu6hxXSup69R2tndyJW8/+ujgBbkPmAfEeevX/hPlYeUECePBeiYuByHqAWK
GZWVcYlEcbbsCJ4JisCxr2rowDZfj4KG7Ero0fqDWUxxVLrcnYlRFghz/FXk8osJBOjotfi1cvdP
DwdwcF1bAMi7HaZheLQWp/0+tdZfBHa8jEK4bhOrswLOaNTkvpMi40eFLcnmx3pBGXbJ3OFCJHu2
BACPgMzCRwOFK8KC9bP+aXJ6AhrOIbRaBmk0m6lNk02wXFRAOp8cEmnqTvyP3hZ41dej1AiiBEpA
tUI2yjK22eIW+6AKrHljtriFvL/e3hqMzhm9HIQAVwjz68FcG0+F3oqD22xeUve69k1JJbWuVBya
MHMvHOJnFajVaXO9JSgKcV+c3r+ttrSNAsxw69jCDd2yL8LGSbearJ5SVV8SVnxrNAz3yKDYs3Rb
T/aSnDQkt5MlvgXJYn6XrcTMs2i164HMLgmdxPmL7WtW4cqtp7ZN/YOWxmmio4+jHmhAOA8WiKaN
KLthOzq16tFjHtp6Tzz5F+X41hFX/y6AWrAQqKafVASyMnGGGZ9t/DYn5xnVD+2how78+P4iOV/3
656Ct8w5Cxnqpdr2p3VfwrY1aEWJA4pO5qegjcVX6EXi6n8yCqEZJ8VKpzh5lxoSEppXQAwC2PZb
XKkp0In5kmba2RVFfZjJWesnq+DmaUUOezC8ENxhPAT14t0Xeia2Ez4GN1aO0VPhzmpbtsZfBFgy
TWSBNMeJXlCUgPnwepeVdudo6ESPB8Tqqp3RFPlG70YEo2EObN7/imu09yqdOBnq5GgfHVpeHT3h
g1n5y6Pl5vZGpSv627CyTVbK4iFQaXldaMW8fX/k80yGTbb2dEgJyc2oQb5+S6T+HLS7zfEgpz69
LlLQdbZbNpvRL3D3idH+nvolbPrY24temxA8hw/Uw/cFMxmWfl9deKDzs42AkW4W3SYDOsOpTCYf
oV06Oc4Hw8dNBeymdu9lfr2VSFhfiPffWFXg/IAgr/3ctTP++tURURXWYKfyMPV5uYcr6YblMM2h
IbsSn6tGbSeRWhc2zJuD4t6+MtUxcD+lFtBbmEsN0Z0D5pj1TQJMbFe09nSg0C8ePKTLf+Z+fqkP
c1YYM4E9IIfMnUHd7wwIRCKTVF1TTAc31av8Phe1EyJa9hyvJl8LmudRiZ53OAIYMvaT410UeX1j
VgkuV+cGZLbWuvrrT+002dS3QzKjOxePO+mpbCOmhCxnTOT1hRW97suTzURRc1Wj8lZK8imJaAqo
LUhlzRhPJX0d1knnOWEyZuUHo1jVbaxcxj9q3nIJR8NMtU052Mj5L5OgwhR3eeJc2N1vvfzaUWAO
4BrR7nv98u1IkxvJEVz4Kuz/PGcKomHW9oFedfsL776GzafvzlJG0JOomn+e7GZ3NTJxx0weYtFK
hw5J+yEvv5ml70C2bXP55PHB4UtkmA2HE8YloYOd14WWlfHWC1voIBKeYD+CKPbrF9bh2DbVxMYy
px4MXREE47Z10+DomJVzyBLje2uZKE1ljcye8kJcp7r/yU3stAgLv98FZmVHbYLKwT4T6BpeiJ7e
2AwwXpgGxL3YC6dJ6ajg4zuFLrkYR9O5cSgTO5GgHu6FpaMWM8yc7pMpYjPd2MgUZSH1+URdaL28
9RDcmQQ4qwABdZvXnyjDiC+YtEEeuIU6uXF95BwrV8TXRk4rxg+KMRKJ/rvzuvL77A9opr6/Us7D
LKJhm0YmJz4n0WnKgsByJ/SSYygbW7qYpbwzMeKMKqLVK9GKC2/7xv3GOmAtkOzRWDs1o69azB68
PFeHrkr7a13ELbmLgJoR2iq58/WqDRGG7w8tsd+ltOlUgGy9x1F5gLOICSJFz1O4YJzladyltTpQ
F612PXoFdFV8bFxyrX3QYgQwrcHBQkMIW/gIJHTNY6D3OIHkwdibmwYHw4O1zP0+Kcd5a3buj7pZ
msiq20sRx7ovTnbvv7E8RDovTPnXi8LX5t7E8QMUHnOzG5HUCIfcti8cEm8svVVymNlnf9KYP4lr
rHYy2ibN1AGju/ROM02AGnViYC2w2NtxLhQ6a474OI1F97P0svHr+yvvxdb87C2R1nNw1IHSdBr+
Vh7y6C13DuCRUe6X2U+2pp5qCEegyds18fhoJUHxKeFIjXwHaJ6faG2Ylpm9y6TmbTzlWaFKHCPK
i15ufYqqFzbHG3c0ZHGABCZqjagpnhzYfYZcPrY/6oD/53Jbz2p5lAEaPWFqdR2tSDPun8rSuJCo
nmLLXhYqZ9KqqwTEhjLk6+nvxFAP06TUYdaCNnLGrgindJb3POdH1i7mj21Tb70mDja2t/pdt/r0
SbSOvJmoM4I49y5pX7yxb+EJYucOnk4H0XcSl/Zzoak4S5cDzQpawvo8kQEG2oh0w5DLYi86r99Z
JQ2S2deKz+8vlLdmgYIKfR2XRXJGeaNEOnYmuiyHXjemZ2UhSu1ZxPs9QNywLYP0WJZF8D+ZBGph
qGIgWA2l4GR3oLNWWviAqYPvjfpB+QZbfeyFru+L2tRRUHa4PUIzzXSc4EqZftbgcNbXBQp6DqL/
RdeHJF3+lwbz+Kf3P8gbZzaREyIaPByoOPNkNtDMiz0EKtQBLCuiHXkOZT00Uo8+x9IlR2nJob9w
V751ItFZIGQDE2HRxH69JHF21WvNwVBo6fHS0GTpflzGpbpQ5zxHfnBEA/dfD+e1PXUa9A8Z71bH
Qh0akwr8Jvb9YGuohFhcm5s+vw48YX6oRWv/dsEM/NYQOkt2HVQj8B+jaVxyRHlzJwKWdbmpIOai
avP6taVjo4+sdcuhs3JXbrNWd+2wndFUjXpUl3Z6wQz7OED+CuwqH5B4MPXvsyerozt2CZKAWJv8
nDOvU5e+1BuhFXE8RCjyI348rTMNwWxpcTosh3i27C8N+hI6sCpn2U61TRzhGKo6BGOATgn6Tz8L
u90vqHBdZ0FCyWuEu/h1QUogRAXMC3sEBS6kVC99i9eHOwQqNGUweUGlnfjm9ZfrdFkGRl3pB5M6
63gzBrH2OFH/S65sYVPLoUdf3NWco0aYaUH26Mi6/qMpNecoXIxku0HNn/BhDuR2pSjz+/sB4nxn
2LeehsIoEJkxHi9EJ+eL/PUzr7/+p0oJKv+u2zUpz6xQfOnLwIoQQQyu39+95zPHKB7hFn3XN/qf
qk9WHGmsHyxwFvmh4Hqct37dWuW9vrRWHr0/3Hliz+WOEMCK1AXOiAbU67eCoRfkicca1hYPLKU1
dFbLtZnhObP4xW4YuuM09POD5qmGYIiK4opD1+bHEl2ZBgcxiYb4+8+0DvlqcRBDk5NQY4PGx6ly
sjikXS55bFrLATDI3IRTXZfbGSQMtmYUFW41r5m8qLPqQt8AE8nGT4adtj/ef4bz5GR9CNrPXCgr
1Oy0eNpJlxMbTYZD06JHGs45nl1hYlW7InUkpU1bmw6aY5bkaL6MCsSsrhG28rdeSgk0HzTqI5oq
P0uVtZtUopD+/vOdLUYeD88ciLboHPp06U6mLUffM54G/VCyb6vQSvPSCRF7seTm/YHO7vZ1oBdR
MuiHVKxP1oeva8WSIah7aOayJNCofiVSftU67Vk4zQZg887V6937Y57DvmhiMSx1NeCDxOMnV5gb
l9hJw4U+KAOYejSM2vjZaboYpMgUCww65djdE/NqFaC33MrDpbLcKlRwL/UL739+6fAsNt+Zo5SO
L1iP119aWWlNk0bph84eAnGvpQRQNwa36J3I6yTYVeR9+WZ0bRlvwZC1Dqr/4HsIBUdwh+gC21/f
/zpvTD0RMbkKDb+1z3MS/yXNaLYwRYxDbw3iNg708UPuqOBSdr7uspNdSOGJ+JvVxVI7VYE0xn6U
DXHoQc2z+4c71MDr01qb2k1dJE4VaakS2Y2Ot4GxEWTlcbTgjPE9HQIVhHJUNDjCvDZbTDt6qEqX
2AwvXJxXz0fZlfoN5EqyIBbJybxQA9OIAqbimFdG6Wzb2VDag4nWVmxj6zjjQ26Yk1QPNf8NUcEg
x5BtF3uEorcN2OJiq3uaEtsSaD8k/KLQuyuR4vn4dRSJkpuqrcr5S2bl9rwznVnTHsvYn8Szr5ql
PwZx5jlDmJuZaH4JK6dVFCJL4zj9JsGLqFqg0c1WvUnqHqd7Vy2F/OmCr0juBF4X46Eeikq7cGye
H+Xc+JSOCIW5VpFBOVkYWetKU8gkO/qFMoEQIvnzh1241je55DP4zMkUBohqJwDxbGu59aRyBcO9
s5K82piDkVaPUGOEdeGoWifi9UStJTbQk2vTi+V0clTBqIzzLivxEvPS+b53huE7XQb2suFqc3Cf
elK3sK/BjvDq/Y1ydnRR30KchYQJaCVIjZMVoitqS0ltpscxhcd8JeY28fclMmxYitmiBMkYDEco
VInAQR4t1QvzcbZPKaQCxub/9CQgcZ5cY+XcEDi5bnoUZTCLEKPR6ZPpNZe4Aeefl9VPOMwlvuqn
nyLNvYZrRjp6fawRKfcjawzm7oNeIN36S/lp/TsmU/mB2xR2DO9/3rNIhSuaVgDsHk4HUITr+/8p
HlqFfcwmQ2KllZl/3WmBtm+wG97bTqNdCIrOP+UaDVDphzgKLuxUtSiY5sqnydIclXDVlYkD6j5F
H3zz/gudj+KsWvfrMBS86AS/fiEtLc1GjH1z1LvSgU8kvU1jde2F2PcsPYPVuL4DMhlsi7M60zAt
cVCYQ3Mc7aDZo6I47me/tj950xRsTUMj7H7/tc7CqZVGSSHHAL0NovcUQ2QGfjOW1iiOxPomnqJk
qRiYWWAqd8rJ3PieQDRrPibQDuUWDSNv/t4HXdpdIlKdrxdgKlBiyZOgooO9ff15pyWwBBJ77ZHK
bnOlC1PFOxjVrRGOnnGRJvDGZ147J6usBvRCjMBej+aY9UyZNhVHjSW1rbuqu6p9FVxNiWXmoQHS
1LiwfN54v5XbTMWM4iUwnJPlkxeNrYC6imMicxfPnBxgfJB7/ZPjafL3+3P6xlIlHlnhX6BiAEqe
jDX6Us+UroujkVliiGwrwfRTN0cq9e8P9NZnpDMMLH3tsp9VV3IDg0SwRwKn1EyPLGzIDpSmxJ05
DnQGilmqCwO++RWRUv23HgQFyNfzpveT72dqFsdmJmEHW6zfoF253Lg+oeb77/bmUCDP7PVgJIg+
uR88fOvHxRHiOMeBW0WL0q120zlBElyngzc/vT8aRXMe/dVFCD6RMNJfIX0rk/pkA0AkLOcaW6Qj
gsi4HgeRsIzmHh3c6oCxfbOxEHr+6rvaQdPnHzkk+m21BPVOCcr6iigz8pdiupMjQIcQd9Lpp70I
93lWdaRk4UVpUhrXKZStsLbE3EcYYpAYmFmBSVpjhNZYpntRlWiCDnWQfU0NdRCD5d0Fo2uQ5Gta
2NSrT28RlEdK2vJW9rZ/32VptyXanXBJmg5TO9DV1eJSHVUxiq2euj76Vh6Kf4tKv2bKEA2ds37c
JkmKTc44bvirpp05at+qPr9z41petToSbXMWj2WYCa9KQy/puyNAciPZ5JZffawtp7tF9KS4LWSs
72unU5wUehwimXlfx3655ank0ceUeteOhWrH9JrmpUy+5lTxH5EBlD8NUcXFplVBcehXJZ+oTefe
vfOg5WcfvRjkzU3rLnysANXs4LODZ0y+AQ/I9KzduU9zPRlTWDal2V4Fymt+dnJO07DTW/yzGkwu
i52qXErUYVqZJTOy1ER2fG+7Fkdo3sYS3GSJ5tXYEgnvl2/PeXbly2lVVxiqae7S48DVrD65OlT3
K8xW7PgrJL+sd6MxR1nCifTRGOYrxyva35N0gOr6qUztHSpmstkPxqpopmdFmu0W0P3EbnCRyIjZ
Wt021nAO2Fiqn7MdWmNi2cKUlbcaFKEf5ti1mHU2hHvT0rnJLjVmU0aDN6CRPA9Kmhs91/0mcjpg
umGAZjOeKvrc6+gmT6W4Gso+rW9lgLfTlTNkptyQIVT1pxm24LCnfzyhXRiXVMJRq3AJEHC90A8g
uBxjX9Z5hRdYm7cmNAtfS/qvQ5l32icrLubfg91Zzuea46ivIpuOWxEZjd4HuzQovGkP5J7IejJL
iKXK8ntBsY07dodzwVRvjbloECKbR/+baVdoMIBUGouwa90WtyEqYMV2ckTwsa2FXkRZp+IK+7U4
a0I7SOZy385FO362IWIv37K0V9lHUY7N9wkzIXUlRKbyTd32vRt6jdNWH+Leq6DlZLkHQcVNO4pp
tspJABy0XJIuzIsxNyOsws2UjLAvy+9Wm9YipDcwWWM4zXQUkDTPx0cElHz7ZiyS8sssywQ4LwSv
/qEFtWeVACkMc2CYVTnL6isFJRbVufgm6TEVOzp967nrDor94WZwcEk9LnZDRbQfPDyJssyd5x2a
w6q8i/M4HT9rfqP/Jkzv0k3qkLWxgfCn2/qGUAVmF/rUfZCW6obHPhjaYVXXLPX5iAWPsEK8h+wp
rMhmlhuvyfU2WhqHwrcr/FVJC7v0oI9DFH2m4tpfJAvJR+nGbakoLhbl56FytdsC9S//QzNLK1UQ
GJLS2xCQTc0fNrCV4HOaD226EYvbupE26EqnlD6OaPJJb4bBjAX1XhWOP/8RG1VT3mk5g+IQYiZi
N8/Y05t27HPBw5PNaRHnaZ5/SQBGVzs7t6cpxPYed6EYSYWvqUpEFzpelo732A+rOtRVMY+3CMTV
xV4j1tY2ZAiOgjM92t4HVyGcFqHuaHuh7g222CrmbQiDpevyG7vwqnFTmlXbrLdWQeDtlE2yLV17
WvZKDGV1iFEgC8I4t0xxPXaOOR9VZqLgMDoVbk4G6lVQXeq8i2FQrpWMbGl188FxWRRRFlcJrs82
jmt7XVdtdU3FHSeycaH0ELrwqL+gCUjFwdVSaN1aqdvjA+ZHlg4/fTaDKOiDvjogeGBpHxvdzLoP
PEivPc0T7PWjZ8Qy3dYscPfKa0tr2VBLGcwNU+1b4dIVy1cnQXivYXpTO+W0oPQdeb2tnMhD9nxm
D8Sx6URYGffOpqoM9KtZ9PO49eZc+ftWyaHcaLpos4fYNbSaQzQfVeiDZp/3woZuFnYkoUNYD/0i
HpRhw44yJLJ/YS16zrqev6y5Uqvo4HVt5E51y9zJ8mrpKirAc9BWXxJJKMumEizWou26L2OeB9Wm
0WvhhCDp++8CsaCnxPdifesNqCGhjAjx/ralIYNDYWJy5mcSoB/ycm1a7VMFDSMkB+qhnDc1HCWt
nFx1jXxcOrG5mwaThqbJ9HAAhflNF53dR8KBLnml91Lam5ljUv/YxC39ikI2Kg2zcvVK9mvkMENZ
ZeWylcrtnA+FP6j8ui/GAabSOGmWpLeqNJTr7DQf08gdpqD4mduj3R9bLcCTi0MrFiHqev6wc6zG
OjQd1IglzFWt2tCX9YjoqowXbde3lb38NHK/aHeujL1vU+M0/QYPMYq9pi5GGYrBjmukqfCR3aMT
kZqhIfQaqorC2zbsTWl/XOqlrnYOT/i4wO7vv7WLgZgB5CpILBFHR9nsdPg7XzN9qRpOoGWpH5IB
lw+qdJB4NnQp+2QPOqwAuDFnqt3mfIV1BxWJCjXZdkGEaRJtfjUN8lsHUkbuGg+Rk2hqjAWLzHoO
zEeICmP1YULVq+3AmFZZEdVNNmqbBHa0f4Cgbj0ts2OjWi88dVch9QlAs7Ss6QveJrK/GZapGJ8G
V6V2uCSj1l8DifLqMDMk6I7Od9J+C4q3KPfIIuXZZmkFHA/aj+NyHZf9kj2pWve6XU9rNYtQoRqX
42xP47zT/b7zN7OdBOrOsdrgs2fndXcVt4bZP0oqmG5ktk7cXXXeaurcNjEyLkBZ/ekDpit5uSs0
f9FuuUzEE2rQ2NAHTZHhG0qR5BdlpDzd9Hxs2tkOWopXRbKI5s7Mvdr7RvpHiGANnjVv3anVxiOG
d2a9T3z86KKlx/dgK52mLDiSrCY5gmKo8JNgd3pX8CD1MmpkYps7FNkIBel2TMt2IVJZu8v0tCK/
ap007KVlL3u7NZPy3rQGlCunOpn666DvlHETLKmHTVNtgDxXLH26CkoU/S7Vndrd6EbRTvtyWAhf
RG4mX6TPsrhh9QOp01Mqa1vc1Ep1i6ve1O2kARU0HIsmLT7GlpUdh8oz2siNp5xjI7ZUiaOnMTZ8
nFnE0KDXvhu3npVuzKqJeVvfqx/mDI3XXWYvZrW3DYKwXTIGzXjTCqLbbZmkQnvE18zyN3bfp1oR
IkYxEehhzRLESzSbaal+JEGfB1k4lBqeTNpUNCLKS4GOBhzwRuy0rqWl2vm4p0beIJJ5I41Y077Y
S5z8TPLBNB+1VHRfjdhAy3+jO0r2Vy60DVy+06xRN9mcGU+dZoP7ikeqdWHQu7HcEYS36j6obAxi
urruPg5mEwTXCeZ3dUiA17db4PluvUMcNUU5znLKgIurHb841P1ujDx282uo+QN8Pb5IsZclKx8B
wbmbN2XtVL+MWa+djcwHaV8146J91gnAvJCl68jNuBh+HUk3t7SjJvUq21miGW4aKy/jXalrlsII
InVquPZaPeDw0nEMlIuNzVLi6LLaphzHwQ3yKC2nfVyN9bXLuh/CxegkkjdWUT1opnJ9AjDC3+Ns
GcLalGR7KnSLOXH4sZEuyNKBFovq08C7SajU26GmleYjXgBWfmW3Re2FmuL0uW0X5Qah3aLQyDYh
EN4zU2O8oawzGbdNFdvqdlh6rKGkb6EuETtCss68JWPJoH3ISdRLUd24ptc21wQcQxPlWC/jfBEP
83OxmN68NxY7TXYxTfUldOXgdrtCVJm1ndH/TT+wF/JpL8aUBlCBw5FPMlYtzaE2Elnuq1XFJsSi
EqWpCD3S6YOVGUX+M0ZpatwYvZanMqpaIR6apBDfVZrbaAS6WdwKDgJr8G8bYLFJSBFVw+qXXDKP
d/Dp1uSw6Rc95R5XU3ZX6MFI+3mmN3qjTJKuPbWQIL4PCKisXSD1INkUdbr0MgQ6FndHmVkNsRc4
knyrK4jXV0ODmyAoDkQJrY1jZkt6nJpeiE1eDd4SuTmoyYj/XPV3q2WatSeEgwBMzOhnN5AMsGN1
zYHObe4t9qNdiLk+uvks5NbMCVGeILsLW9Eb0NzgOaeTNhytLHUgA89jmQGo0qsEDjg4S012IQiK
dqT7WAW9HyJsMRW/QAYu4sNLjv5fv+T/Sp6bh38n4/2//puf/2pa1eFkNZz89F/37XP9OHTPz8Px
R/vf6x/9v7/19R/81zH71TV983s4/V2v/hB//3/G3/wYfrz6ybbmelQfxudOfXzux3J4GYAnXX/n
/+8v/u355W/5pNrnf/79VzPWw/q3JVlT//0/v3T9xz//vrZv/uvPf/1/fu3uR8UfO6ofdfWjO/0D
zz/64Z9/p3b+D7DPL0L7QADRafn73+bn9VcC8x90GqiXgtWDsPsCgKibbkgZz//HKuplU3fnB1Rd
qH73zbj+UvAPSsbUI+kurQoaqzXU/3mwVzP0/2bsb/VYPTQI2vU8zeuqChVUiutQeKkp4rQI2eWk
qpI6GFXbduNS3gsJW5HpzrSQA8D0LqlaUfF6XXejagm/blW09Uz4O0ClT6pTcONW6mlt7iU373SA
JG0uO83ElzCsiEPv156fsRtLTrUbbGcG4n+N9buBrj7fzmam2xGp2jzQP27Njyr1uq+2LgBW5/Hk
/NJnu3uSam7Lz4uvQFLVsIXwrFvTzrCbkGnfeVVVWRsgLiVhCfGhEXp2CvqeQxakrJG1Xb0flenQ
yS/adO3MpclT2nicbc3CHIZUcpqBmoVt7CvyRKpLyiZJdgjTQhkXZn1VJtWC6WrdBN4GRd2mDnEh
iw82D/Ojgm5A1ty1E8Zjs9KeeeJZi4g0xGM51PNz1g62G/p5619DRRjiPaMaeBRZnJMx9sk/cOKW
O18VbrWTgzNY+57C0bhZAqIY0p4pk6FEYHeOutKrcmCVo/2rndLgmzCdUQ8Leza7qNStxV1dspz7
Tra2uV9ovXnY3nhjF/ltm3xLEzAPeP5qNvFz0uWEsHlmcJyLevraZtDwIjpD7qdOp84PQcGusjCL
k+5zr5v9F1MV4ncq6Q2G3WJ5IrJKWTdhozs8Ukpt5yMufG4b4Vs1LaHnQY4gyWjlT21EwSKsrNgy
QpqndslpVjX3WHOiUGV4HZrx9mSA2CurTqsjqDLFrVu0hRFS4NFUlLZ69YewbI68rPMWIySgbJ/c
wqg/OVxl3B3SF0mE02B+XFyVJfeT1405kPxYw0890Z0/FNjILlS5N/7sO6E/OXpLNkXOPhOYtTIl
j0IpZaflcvxNu8UxsBGeaQmWVDyuS/KX+cYfY9e5VsSm8tkRRgo6fvHN33LKjesyc5v2qjeNUosG
KABIds2mel5mVf5vjs5jOXJbC8NPxCrmsGXopKxR3rBG1ogBDCDBiKe/X9+t7bKkbhI4548LKqtB
uLE3bX5+aZeRaBxnAR+Qft1Z2c482J74M806DsN5d+JqIRs8lnnd5zEqX/O875P6T1n4LGLfypHR
tXlURgcwRzUlPYWVkthc+gJZibZwiYtWOA9DYQ11Kg1zfvbDuf6YxtpuL0hU6nd/80WY5UvlOrHX
qtBOAgkgQHtuW+dJUQl+rm35TZPsuZjLo13gxHoU/iJU7K2ybhKsbrO80wHdTCevMJdDR4KgH6OL
91bucbk972pg40dKIiQWo7Z7wrXGSkMaRvBfABRiZcGC3Pgwm0bIX9mYmsAyWrBHvsqRGHSJcteL
R1Zem5/ZR11Wb+1WpZPTrt/O0uyfw9YaVDpZU9km7U4CUIxyYp3jlakxiNH/mT+9A8sZhGr7C07M
1okzp3IpIQsoMyCFzfeguWEJY5R1WuIZtyfj3vDVfO+X6FUSzcgrUwU+jdAFW7mVSpyYS9LqLj/a
jrN/FvTQoXsfgnxE12KCvMFp+nHvt/0XBRHruVeu18Q7SM4NMqXwXbSyArsKVDjF6+hZ1De57kUa
zvTCPDtR9deBwSa5Oxh1anSe8TqtYpXxUDBYJNtghkW8safdm+FWXqEjW/2oLZLyvHO8ybgQpv7I
BUFecbDjCk6jbTVeh4bt9oizQ26HwrfHMhltv9cHTs5tOo08kWjoq2Z558fymdKE00swibA8znyZ
O1KWiDCE3p5tI6Wung4JjhvjdSl72nT7oVBFLC3VtVm4NsEDLpqaAJ5+0HPst21IF3MA5ul17T6A
XurdjneJsjlt84p+rrmcWY6Cjtk8ZlztVOL5c9ClgDl+lEbCq17Dfg6KWOCBIVvYZIc2pUEHgTEq
NwBMl6pPNuXJu7IM5LfpCp7ryWd5zMqWjNukHZQ5xzs7MiI+RFtTXNSgiGe/rDmkS3vxvrTIcyub
nLm+awPsL7Hp+fWxXkFoyeFbouZsg5dSHYGi9b9wUf1jt7eBzACVjIYzuV1oiudM04fQkWDHFSOr
f6jHRURxW/TI9oVu5iD2C7reYzXY0kFTVumn2m/W5tTa6/buancE2kF4/hl0xFWkde14CgCBZyF2
8o2DW4Xac+ORyWMDTePJiCm8JvCKz7R9Dv1WUpfGsWvHJQFxDanyVk3G3+aVX2KL1EfVdhuyodL3
wFv7bXko9lrkiTBz+6+uCigHrC6Tf4wmdM0oZMvl1/UCVaJP3rzlYExze/YBEBwg/Io+WYII5iil
VAYfGxnsOO1ZgizevWJiCZDobGPMYG5wgIvsXGo8iyYLdoPjSiPi1nE4hwCnrlbs1znQZkD3ksx7
cEj29VSx/KyxrtvmDy5Pq8rw+oMNexJw9bLqiN9coxx97g0x8aT1BZdct5lU/0lOzlRiPmziISew
PXE59ikZnTr/iYHe7hLlru1nEbjT374b7AWVeqHm0yqHcGZOaoYuk1vBsWasFAHx8phVFvZ9/Wbu
uanQijObAMIRNPhAreG6X/rKJ4fCbqihTZwiN76LrZvKdFrzNkyaVcmdCMwRkQNXw5jtox1+aw5o
kWmjKx88JiPz7AQdgFkDBOlngT37fDL0eP76fuXY5ITq9eSKMeL7a+bhj99RN00hllrsZDAiBh5F
ecN0WVEEVkfdA18y9hX9nlJgPJEHp2xQxWKjACW+AutEatohwUSTFX4v11S569E8HmvltJe8c4NL
44jqZkcPYyTAA/XIQ6v3fwZW7ddecBybvfz26YktjfFuUjZw8OIPJtnOfTh+glUZn2qy1owKPgK6
xwsUxZpIr8Yk2Zi0XFTjgSij7eD2AY313XYMozE6hRKbJuDxZfarocTfpvm3U2uZ/zwf/zKmwiAu
mUTs2M2L/oo9IkJObacQv7jsdTITYZWu3ioS2r+xpnW5J7JZ6wWJHlczr5Exe7eW1F5zKrH0XRFi
0zQSPWlSRBbpvzp7cGrn6FEsG/NUbgXZbPZO6gztgyEDM7GK6YDbz3lsTU8Z/IaMQOQvzDu7X8gC
LEeHJMqS3Ok2mNi6/a7sz2255bQ1WpxzQ2f7z662xJukgyNmWBntxPJXLwGXJQMqCAO8dAboZ73y
DIMuJXZUWd95iPGmlnJzMoQS8rRbc5HHMOCfYdtxqBtZ3rpcFDY0Ttz3+4GHa4g9f7D4eDr3sOsB
H98aWEPqbGWZFJH93hpueFAde3dcaTP/WO26yrYgOM+5uWwnwPexjgWNJv8ivbX3A0EDJ8tYUJkG
4/+/Wu5bCIgtvwtWMSKxKeFXKhesODec+U6XxUhv6qaav35RRF/TPl2GwED+tnChjnl1P+RLH4cA
SveIavPEbOncbvsgyWsie2PokplskNA4irIf02g1+JCqSR8CgJMnLSbj1BfVgcTgR6PVX+BGwx+y
7sTNvDg5D39DGn01PNd6ckYmQbF8qj0QRKkG9WEcmyEt8w75UyD5WRK+5p3eI140MaT90GF9lKq1
39SoJ0pSqnm6m8PKuEO7Ll4c7dwOctb8h0F7mekNizlD+8yaB1oYm/O8VO2TZtuLDmPn9+fdrI0j
qvYU2F6nc28QizoZG6FdfrYrfT+hbX5sNbPJtnDwOlrJ01h5PfpN77eezSUe52l/XpX1xQBfER9r
2TscY0HioJH7h7Xo+OjZFqfU04sJchrMryBTzZOMeqY7IaPD7NT5CXgEn6o1yF+Qkv3OHW2S3cx8
SRUcwnAyMbBxYmPVgboas6Vf1GEq2iJzjO6F1DkQ5Tyg7AW6t1xPICFZHbbfY6c4X+B040I6R6ok
APNHhlFcYCxwupqOGGYxXJRWFGPNSOtSP4RzJZNSEASKWOW5isYnUPgiaSfHjZXTWff+3hrHJbeO
HNzvTlRdMKL+qKrJ9Aon1OydzCrE0qDm9cHd5+ayl/uL4LXaRkPdWAFNEqa/Z61Tf0aDfe4d/Ren
yfduKb+PS4Elajd5KZ3BYimgqDONZMCgMni/zrqGKAfCLWu9naxBnsC73eAnw1Wjecz9/LnZr8tH
0KgYBHvTkBxapn0A2bOA9CbQO00UE8VAISMO+bP09+6wNogN7FUcFrd9axu5nheqleJm3s1k0M6e
jeN0Z6nFwXKre2J7UckBXRbusVqI0MT0/O3u63vllCN5Q2J84EiiHnp58aHDt6Qoa6VSEvzhUHNa
Eu4g67bEVt58aRlH4Wcameza1YkZrC9DJ/7MMnicKuupGzc+K9YUlc2IA+6RdT8OYWMc6H5l1OIs
4Hlz7H/a20cvm8hWORJ39KVadROYis9a8HpFlfnuqH3LNht0OECrfkPKxvQFEPJTBdF4nN2uJ0+r
M/8yOuBU1ODhXvEZGsapiJbH3g+3uFDTbcfOpzzvYDT9cjPaXjeSY3xdxpbiPXBn/ccNio+oEGxP
Q+6c4DTXQ2UZ0d/ZEaqNzaqebQTfS3NuFDQY+4HN3yD8gL+rm95bFVGEY7ECO+HBXcQ/zWVS0ogz
qtRHnzdL97Joe0iiNnxk4CvSLhiTUfZzEgQTi5cVHHkzVTo67p0fiSnOK/fcyN644JT/VwVXXa/g
H3mtb4LShX02zv2HFi3zKp+AueIbzq1PG+PRK1GMF9IezsDBftbMxsbswJx0A7o70ZPmRanj5Ne8
x0lkxZKzfHVNooLcP04jX7kXlce19D8qAv6w+Nx00r/po/Yzp4zztgj8/ybDuAzm+kME234zyOkh
tNeli6c1im4Mw3oqfF3fDchBE3/eDuwLh9ENT1YPalrZIrhtu726twvnOA7As4Nui3gsw/CBeVux
3TPaIuj/sDv+KGz5YxaChjJMNs9UE7hcRcL9cBjOGPaaU76bL2FQPem9v4yjwSfZD/YWU23jAtEu
KTHXv4Veb4Uli6NtToDLtoTx9taddbzYTtVOv11zZYdaNOUny4FWVm5dJ6Et19vNaZy009b7Ps1l
xrxGflBtkMMTR22jTi3PqSd6S8VRFK1fduDKRPmzmW7AqLHXE3VZIs/Jk2Us6N8ATQqJuRmih7Yx
qdMs1/ajlkXxVZQLAL2txCdP0/wxq2CAn6sew85JaGVv2Sza6F5X5DG60oI6KTQFxEBg92iKP4za
bJfDPvX1k2B3KTl4BvOpKZcfq4UbjujU7YUzZWPOkO+j4xwQRjvO9C21jxrSMu5kN02pTUXOhyy9
p3l1xBsPMPVsvfESdT5xZP4WJD2ZeR9V3+h/tnZ4JNTK2pXXTy42UcqxOZq6YED7IcK9PNSbY/4T
kOXntbF4facHZ2MNDfWalrMVfmpTBCeE8Dou60hx/g8Hq9LTR0TBtscW4Q+XPpKfcMbHcPLrm6FH
DtVMd4g9/kx1zZ+ft1/rLNcYQuuoivY7H7tHQOpblCDveAL6Rxfx9YdPnXQ6m+271QwvjrmtbLu6
TFt2kGH1qzuvBCnL7TWefbuJ22r+V+bmdDHAWywDzYwvL6vlfghjOi7o44+eswOT9Fe9l8fTqvoW
qsSGWqVY9mGdQ+MVVu7eaFs/DYGYiFcbvcOw2nwtyxTu8Hq9g+LKYjXeaHmIbaO9LODwiYWxkqVR
wNtW+Sczt4insnpyyFynFaN8N625Yaw1UZBP4m4I98sYzifDkrSvSSWThaL6CTnHfT6vX+1g/AOl
nWNTjUYcroxrXV5WKdmVOx9YWHHLLd03dNxwQLVz15R7iqKYiONcgjYYazdlLhUKLypc1z6d/LVG
HoG0ZMnDX0GSDEo5tCfSqMqLh6aMV3PdYwKJkFeMVnRAqEURTKX/cm0G8ayML+67LvEUP5q/BpuD
yc+OI6JMs94yHybXq2I0di3S8KZCASEBdcI8uocm2o8Qvjc0u1hs6RgbeOVPUdf3h7y0r8fBWJQ3
Kz0qWNdURttfyoD1IgKiO9K1CJbiZq21fi4a57yIslwwS0RV4jnbv8AfVnrV+dPw4dznY2+kkzud
bW97gYDK7SvwilrmWnvX9qdW86lp/MnPoHvdcek8nQYjS39VDo+rPTtGvIwRkrVgME4BmWBZB3GX
cDA4IiVw1T4EPQsTeRvXX7/TWdk7WVsgNlys3HuRmgNqKycrcaPKOZVS6TSsCsIv1K7RSMvqdvCW
P2Jf02Xbjr01o5b2938wRiJRE/AF6S/AbwVQdzy2m3n9o/j1PfDleINWyDgQDlgiPCasFaQL2hw1
cCy7HfhrWfr6a6fRpoO61FxXG89ZvSLjN2afBcleUFXZ6toS7zXgk6158Z3iIouAtbzUv2a3n9FN
JVgfj3s0vStgujtPFMYr9YAnax3fFnf5rzf7LMo5Sa9rI6fS3gLr2dYMlMp3kmmVv4xe+HyV+ItD
bg0bwN5SFPCV6xjDSH0t4Q6qZggwCKR5QO9FdBOuEavS5IJ/5D3CQ7+e8yOokXswjTxRxNKmle3/
jbZQ3/Td+tsjyuj6sEncftvPM3LttGmmf50lVbKt4iXqm+Oy9e90dXxvNBvEK5msOSvj391mnGrr
671tiac5IFTU2KW+IGB8bYf6PNb7RUjtxKvsbGhUK0Xi1sdw0SZYcdW9rF7bJQ3zoCtdkHnxweEA
XldYH3yTe2YH1kPLBdzsLJqbU8DiSgN4O1xdIID6aE/qZpsBDugvk4QQOOBTBf1RSdjrhcWs0zeR
XToXtB8MAN34myOnokrAtD+a4v+HXrGMt9XiAobu1Rdbmpktu40EB3d7u6qPAiIljZYyb+KmDJ9a
Ide7jltlXNcgHgBmop3lgb++POgFAsNe/QcNbPCHkuOb2Quse0RyZVo31vyQy/aPM+S8xUPfJ5VV
EvbCXd5F+7PJmVoO/iMw4UOlSrbEauuOEfmfb3lg/s51d6o9GOjdfNhRf8e7lm9Dj5aeA9jGgT+/
OzKqWTXb9yBcgvO49GSQmYUJRdEfa+Rn2RqJj53aSZo32qdoJe6ZAttzgTQxdqJ+fQ0WCVQF/Yb1
1e9iBAennfvBHxqbLdsm5dgyxHM05OqFRWJAiaitk1WQPzYOztOwuOFNOK/DQyCtyzzUzWvruf2P
Gp1WxXZbD3FHC2xFkSq7ofCASP2/XM9diuKXWcZEYn3oZYB2SdUP7kzPUj+YTjp5nIIo2kgdadD2
T6DoHha4nIHqYIvoJySQlC3VOHlbWNyv5mgBm0ZR1sKfJDR+1YcIY/yxtKk1JRK6Zl8uLFQlqAiC
ehuOgJNvQd6u2aoHnUZeVKUR0r6936JbzEyzB6R5LV1vpi9YcbkmJCK0h3FC2CSwPx6BCWSs9vwS
BM0/x2/eun09RdH4vQlw7sFX6m1YzUAkRsgWk3nSXgzApnDQcZc7ZlYOjogNpg6CEotBENo1if2d
FQKloN/yiQ1o3m48YzM0DiUjbBNqYmUKEsmux5X+jQYfiWbd74h7VtQi87D/WWeETwl5zu4NAAvQ
XNTI7sP12blzaQ7/0cNTvNa2yWwIdG5mO7rQdGW1Qgel1/PIsstTtEuKoNBRMekLaLspX9dn7j9M
4+sojpXV/unDDrlUV/7dhbOjKgm2qY5dd1tlGkEVVSjGVOY3orvb+iEqeF+4mVH1Nak2yejWotO3
LrdmuiuGzdEbm19bhx81xoMEXVIYY+H/mZaK12pzEqdUItH+1L7YC0tga6rqVNZo1Au81xcyoYt0
Cfbpp9W1dxxLYD7cYNNzITUNIl233m+u4casm3O2Ta1YULDjzfeK7r1jC1EWbXoFLSqjSYAKGW2w
91C4m+Hfe/VonYaZh3Yx8u5staGKrVCzou0dyhKQpdI7LH6f/5FCuZ+E2f0r1+rv3hVPYraibKrI
WuhUcRrNHHEFFOmNC0Z2swXVr27dOZX5+h/Cxm80kfXBLEKCLI0+ldj0X9DYFl+5Vb5ADz54Rf3U
1I3/KvSO0pO45syrh7ergZDnWp+73nlYtoZzYBlCmcy5/d53zjvAm0rBN//TOmdK1+roD6yNKFTD
v2VdzDymQJgAiRBn21DHeBa5H736Cqz54s5aYf2sUoPiDPOX321ovCz7uxXW/M+U0huS2S29c7da
f8MqF7y8PcNEtfOfr/KIOIjVKSpvi9ARF9XW1Tvi5ZOq6+cRFhCRZ2ezh9vGEQ3MwPjrmolweEFR
c857lUy+cd8tU3aNCbzZc/fghOZBzCChrXlwZ/E475PzGGwzYGKlxSHYnIvpz022mevFGMDvFJ/R
mcHvvCj/YWhHkUyjgXdk6KvtbUVyjgJ3jY5d5FEjN9h90oW4FPvd9ek4lSaHexEcUMzdDHiqsBY4
v7R9PxuWDRkwuIe6cpnaivCZTd6Lw4WBzVF+eRWPhTdWbxy3yDn3lF4NoujzxMhdeYlUNdbk/i8v
s2gAX6fqXJQzUvG20RD2m/tUteVNUOpTLevhFFZXqkY722VbWyeD1wkyMQtwrhwuLxoM53nYQqtD
0r3uXw2ENN0npKBAaMVeMTr3zia+W0Zq2IX1TcCnHMy+cn5Wz4HkQsiJIGqW4cUMBuesou6x9JYz
ZlGq3f3e/tgoSUqvARupMEPNECTNuovHCEAB5QXqI/Tfn04h0eeIeX2mL53tL2dGA8y1be9IRuX4
zO86//iwmZdyHDw6kQK7on5add9kyRtIapzrIOPDFXZZYVdQ7OE+RawpJDC5Q7DCDeT7sMR7o/MA
dbY5/kPN163skdcdvjLAJ0uRw6TLkMW7s8cjb+h22ferRtuGreY2BpZTiLfyHo1sUHWAiVop99eT
nF6ADn9tdre0ogrzXhNTXqRSGMHLNEiT0B86W48YPIKnTfUV94iv3G+HUOUC+i9o/6ONZjlBs4Hg
tLyAHdVrydwHRjKEBS6+zr2V7mbcTFX330S/LLGoS1LNPTHhBKmgla3a4Y+263fSviHhm6DMKEM8
QQRyezpozvnftn/mNiJGt9nquKlZ/knklq8F2P6noYz2Y3S3T726Giyrrco4uoaGda1miCvdjbMf
1SISAr/2MMISlSqZu5AdxG6oJ5ipxljMg90E+We/qeVN7YY4b3k0fgzttky8LaQQJCzEA5SH6z4b
JKCwt0BMB2lUYlGA0qnDr0DQoY3sWuoXPhWOG/wmXrKXI2Mt8nK9Jv3id58DcmuWgxybmirKPfHd
fvyPJjV0BHo7VohyY2XyvzMHNxMavtAui/6k6al7ES7PT8quYTSp2UTVT2ni/uRY84OEgoJ7j8af
DGG1lbSOkhdbYH+Hc6o4gff3blTtgy4K7g+MKZyIjnO71AXlbUYf8i01kxPbU+N9kDUpvMxSCsZl
0y9YbsrDEJhDOpUezHfOTfYZVYKGxHouHmd/fMvzjqMEj45hZIh1qzu315OZ2WL1TqZVzkfhtDyY
Q9clvr1Yd10eFVa87mpDXLab5dnk0GeS7/Vx89f8xkF5ndCvPKY2e9jdsOpDMwoWG0qhz27I01df
k3wYdMStMQUDAKzIX5CRuM+l2Et9rn2MZRbilAvGpIOr3OhEETuyzdKrTrbQPLmIV18DEknh3wcz
9bjdst43vuvZOo2r+VsX+Zw6RvFULuYIoLcRLIVKdkl3z5BfIxEIE4/vFZtoSbqqMMX8CRVvEBMK
uZSebf4RVpSTjWMs6lMYpHc0nbqR1W7f27yh/wi0KT6Y9UNxRidM3hqFW0dT2cat6pblWKyEDzDw
Vco85v7av/owEWlniPJsd8YZlOoquFZoH5C+w7O3cPCamLZRoyyyIcy8qb01DGgx8tSuGSaz7v85
RDkkUOgLhpoGe18DOukM3nzDer4kVhOhGcjhuv2pPChb7K/CagAUOVjHNN+oSJS6Wg+j7ZYPYRCu
/9U2NJZXwgyNWPJZ2POccnE5fw/ulMe6dNZ3qnucX2NQVAXZfflRkMb0Dipf/8y26c239YCaUZXW
huNLeheywpBpzAit33LOs9MW0MU+9Ft4RB3bv4YIievUG5WRoN8h93+KzCHhFxgiUlArSpwD4ILH
WXQGyKqAma5ZF8EcjBRa/osFedw54nbzeRssFJpR9duRvnNVSpR+Vjs5LdCE3iTOZgJ1k7iezIbT
/JIhN/+lqaI8CWa9GJ2ac1+vVyPLjnrJnV4MRJl3gY1RawGNSIOqZqYItSNz5ErbDqG+h0ib1VRn
Gj9NhATXM+5n1AkvEcqdV8OtIFzJ0sE643Ubd4HGXvOQuxN+w61sIZlz+60kJA8Jlm0qF9LKFg+G
Ve289wggbhhutMlot0F/VlpzXVFQlbNxlsZ6Md3V+/QxAENEjI3D7kBlM86EKsHHV4WJoRr0XAtG
PCNG5Q4/KOymvJnaSf4ZVc/KFW4R5YWFWQcuzPFkpH7Q6XQqBteCn66AR23dlQePPd2nMeqCNuHq
V1VXf4Ovvhu5rQ9lb22ve84r0U1FdGs4fZ35Nbop4azhf1a9LDcR9PMWo0CFYl3bLS5d+yuSNkD0
0IEV28W7ue7T3ZiDRhRz+IiGIpo5w9ueNdTYEesS9u/y9+goK8xN3grFAH4VY0A91FfZOEWvqEe2
9Wz3Bb6DVn2wso3XmFXgB7fi6h5xJhLYxFFo60s97g9lLp7rSgwXG2QIyZjfAdq5D4iI0n0UBbAU
/SWpQMuz8xz1z6YJemf7ImeR9beBGUOH64lg+J37R4VhDPbnxPnCOmWB5SZjN0eZ501u6oBxEOzR
fCksc8i1bOQtrGxvUBDqmJs6/M3DSCIB6hHnxaHRmT1PuCj+lmw+gChh496qsHyp3Ymu0whGJaHR
FR8PeI+XZ81VSr3vEfzIIr1rnnt7moHManQdwZZixDIPzJ7MgMhMYnDdqk28oc/ft2hjvsIyJliX
UaC9GDltVHU7Ih2Yrkqhoa4eMfqWx3Gf279DhAnF9wfj3UIh4SZ+pKNP+N763sSPeD0rzOgNDJd1
yB6X+3IqLDCLJmcTtibXKsHI0HVU+epcVNhY7+Vml89e1yM8d81VJhb44Q8Q53hTEP330GzRT2eq
16pC/GCV1j/RoTZaUcGRXtth9zRpfq0t9Rb0OkO+bqc+qjJ5sGC0kH044nuFxhwgm8B8nWf20Ztp
rm/piYKW7UnEjKNdsaj67Z56ofop3OiPBDY/6zZiAKvK+zUASgqKn9HJl695Vj+ONUWP1UTPDCI7
pOUm2j1Isi7D5Zq5eb0f0RF/MJwFzwTaGl9Rac1cfC3dM90Ju+x+a3TaPIR1/iI7bCVkGRanTuHH
8BwVZjgzaw40xUNK3oS1JwLzSVx79bfIzeayLsYniTy/LRfXWaymjBFXXUe+l92J5gcp6v5Grt4l
3BC95YF1XlVL0JeNcyPEeoGh5r7q9uE92L0bOmnSat4u/bIDYuxOG/tOiUgO2XGe+FrCJY+QkeyB
trRvWUavRSjkn4DPUab8jQeLJKvVgvfk2Dp5EcREJMUtTVRodrb2ed/KPyjht3Tqo6PZTIGXFAp+
Nc7danUSxoTu7+au+lFUMxGk4oE7vfuhjjr/5GBBP6PMrX5egUzPdSHlkycFv7HdWvhvQzF2SRQu
nEGWMwEkCacKHlF01DjLqty+GUXDtQOuZqz6IrrcZAXhrcBe6HVvs+dgMRgbo3xlWmgueT/+KiL1
D37eEufmmyQQYn+ygXiHwN4fqgBLVw9+9YFop3vwyTRxY6weY5jNwJ/EGFd2zy1osPTykpve3TRE
Y2Yz6d2TVSNeBpuknoQtgfO3HVpkwgPG7wzV5QSiYAw3uGLpHfwZjP7DkWEfD540MHmwmUh2iFrL
x0muxLYVmR7o45MzkkDpbPudNKlYKdZglHeIm7c+HSJrXBN7I2A01mvlqEMRXu+z0sj3CQCgriow
5CbYjhyq0FdFky//VcbGwhX2jVN9S/B57K2cI5zwuoF3/JVGU7Xniu2CnW7R5vLolcE0piJ35OsQ
DdtTzeHpfTmyJbp1rabXaZNk/xRLqZ1DK2y+h2UPwhAz7DJSjNQ33ZNaXIxllszJn4umtmyuR65f
3VSLiQ3RFpW5nCuBDuJg4sjOz52StplF/c5WwQ627Eiytn261WO/WPFYb0GU7VJObeqj7ewORuXb
zqFooqi/65RrYZqchG+fFwrXp6TUhJ/dOVsHCNYsJPQwSlglqZGe9n/A+g2u+sHt+UqGcX9BMgil
QeofYQZRKdT0r+Vm4r4kIcwDDjNFGRwC2oYBOX27Pfg7VZrpWC1eeOO1a13GxhIGyxcOGbO7k6Jp
/kx2OP+pxAjNH45cs9w1kPypy9Zt3fhNle8Z8nbbeSnHzdtTxBGhhs8SU5QQvToJ4jZqK8IGXk7s
FKD0fuqQHW/xLRa8FgaacS8lA733Dp3dyepUhYWwfyrH8N6QYjZcgt1VIylyi7aUIEffmdLU0eIK
zsW+Q+q5bC1OQX9jshVz9Okj7anuRMFKw2/stj/OWg53gbJKE7GrQZjTXPQA7zQLOb9NjS4SVUUo
HnsTcJTXVDv+SWCY4pHTO3YC+T/mzqzJbSPNov9l3uHAvrxyZ7HI2je9ICSVhDUTQCaQWH79HLq7
py1Pjzv6bcIOv0gmWSwg8S33nsu8qL5JFBZfJgbgCJB0zgEdbzXQbM4BMrHdXKBROhSQAXrct/Tn
B5GraN5hr4zVenIqu7vDVuS8QemBxrBMZaz35A8hMEDKUlt7v27nes1FlJTXk0JDKbIxuwHUahGV
YhFq8fWTyqCtjSwa5A7JIAYUSUWYhZt2XPriZ6sUI6Ko95BtAU8ew+eyKTvGpEQD3NbtgNk04DJw
j7ppPUhxYYcLavRm6PxVtYjhVCx+1W5aOrfwTrJAsO7qYpn1IXHrpd2O7EvJdUWDHu+70a+CA4JX
WPtryPe6PIwErqccDSiIGfaBo1yVXZe89Z6JuktGDEpzKsAs8WRGfehvG4k34IRwdATph62EspuC
931m182ErnQi1IHstVwmAmQR772iUP0xqcIAqG4kkdUugbGcz0TAmRlof1Tpn0utMvXmLbTZHz3E
2xTlkcpu0yqbsAtzvk5PFAAN1XiZxnhR+8IIKrcIPfgm80UY7DVKt2ln8cx094avDFoFwRFcvJbT
h0eThuQDNdEcf2vHwXF2PWIn/L2FstpN1SCJe0PyKrIztjwPPbFEiLamOsUC0pazqjeMqbOPPEHJ
jACSrfgLl9n4kKZ1WxM302LWd3N0vZeyLP35NqRBHTlOq+wLgxM5rNomKaBJ903008TO5L/FSkUt
RVZXNw95l1fAZW1lX2faSDLvcmwYdG+EX3pnNLOo+VgLZp4zr4hrR+XblIA2n5Ao9tYeczNWPrip
YDuCxoYngkUkYz2M6Sfbss8T+V2dczYwJG6C4a2tpac3DFvc6UbVYT0/th5KPp6wbB8pDifUu4x2
WEO8zyHAvpcW6dt4gEOr67MvCQZe4YAMit2AChNcXoT+dT+J0I1XaKyTeO3Emf4kqcBMG213bMit
MQcFURex9o6Zav1xw7h6fEAcPaltmRfJxWS+ni4MqQHXr8hsRJuHRzz+YcZsak6OVepnpNwsz/gu
KWAsAlGoELIiTR5Gs2DNi5YAtWUYUIqsCVxV+Z5x0hVybZONt569jlYKCX7/dRpAG/DNXkWoRcuT
Yj+gn4pvVJYiKsNEGLy2FEnZYbKtPmRQHtnJNtcq8rc4xwtzCNqWx1ioHR7SLhr+cZ3WEJo2mkdu
uC57NX/kaFy79ZLbFX7+qDT9HjHyNOxgIOb+TTmpzN+ZtK+pPqwgndcungNGHCyLf9CfooKSw9S3
6z5pHbH17Gz5HiLczXlOw13d+P0UvyRWMpwb0AAtxs0Oos88EB145DquQIboJvzqB+TDb0lo1z21
Xu2YQ0sr/Z2vacJ1PlTxt2b2iu9+NDbIhX0rwN1l+9zLvNdylxRa70c4tOO2DoqivitqLeYto+9h
OCNyAvswYaIc16glXe+RipxT9b+uHrb/yM33f3r0fvH1/aXn7/+hm49x7O9fBT/E392Cv9j5br82
+o9evt//+j/MfNFvUCi58XHKERF4pVT9zczn2PZvNliuv1v54ghv2z/MfO5vkNHwttkAvrH7Jdji
/m7mc7zfEoeRbELGrE3uE9DB/8DM96u9znIdH46jj+voV+gTqrICDr1Ijv5yl/nc9H+7Ev724//d
NPirSdC+2gD/CV/650u7v740fms5KlLIj+0k9ap1B4HuGODnIZXVslVe7j4iCA8ujraTs1OSFsmQ
2P2ULj6B604DP0jhMJ1eda6Nd9pjZdltFuXNuyhqcF4rSWVtT4GPMDNlCZn087126nm+jlzytz5N
4i0QT8Neum/vY5GNL163TF/EGKqPsiuaVwxW+VPcxf2PRaTuZmyjNltbsUcmh9UnT3G/zI/aFuM7
K8Lpbvap0+JlSD+60QzH2AqqcjXNGZwPNlrVT8wE3WMREm3faMd7CoKh+4Y0zKEz6EdMLMLGIImK
EYu1hst5cGlRbxbBIG1f5oE64oWXrBFZZG2XIGUv6gSq2gjWp2+9TStqszsKN3MlEnYsY3CPGTj6
JkmH3CZWau+aYSi6Y8lgaKuRtt65EUsBrYP5c1pEtSFmFLG97OeTD9iA7wibxwFwfXjoLN3dQxx0
NtpR/lmwMzgliwyyTY3y4AeEqPGrny1I9gwL3q2sIobNeDTQyEILvpS9xxT96k5pkO5vk75Lz7pD
WOAXkXdHYgbbSzecp++jO2YfQ+FP76Yvl3sJJWqbE2f9qMUQbfj1BR9FW7hPUZknhGvAswT/ZNI7
FsrLBiWJARTWRdlxsGzwNQWWDOg+zC5bJxZHPhC1Veo62HRkz74ojQ5F7Yl41Tm9/umizkCPo7Xz
DL40frGdggrI5WBEIpd52dMwBOk+davwYJiysXP3raMdmcrsBDfIszcgsl7Pwnj3rQ/gAf8ZYqbF
K5tdLAv9VBUREK8ppoxui/KkvMq+ZRpA04IPgLCUoS3GCxou+471ol+t5xZuFPPhMf0ZZ3O/i1E+
7X3TLnJX6Lg6DDGIHi7M8QFCg9rAHQggmoaopseYYIGyrdOXBbzVGl/DfPbCQB7AFvivRTdn92Bq
iy8llKpzcOWIueMAOSwg6eUw1QM2mHmkSgDmnr6E4RR/G7UeGNATdLTpgqo9Z3OV/zRB4W8aVTYL
6KnFFlcAQXQ/DxPz517mm3TIOrTADnAYWoNPof38YVCyuMPhV+yxmCfgL0T3TUe5f0KjgpGGG2J1
FcU/GIL41sKKy23jV32+cnki0k+3qdpFiUZcwaAvQ6LezJ+xr/RRWAW6Z+gQLC8VyphN29uIXiLZ
Wagz5qgttsFSMhfxJM4E6nomJAyrv8wAKN7toU1vW8M8g8apeSlsoH0RnfhdGTPLbCyh33pX+i+J
ZoJeFgvT3sCrnIOZQ70L+WYQ62b2U8D1eI+Nx/tKZS0sdDKFJPLOwIEApA2ZIU+2XWLbT5gkfT7a
RFb8LLzu1NbDwoeK++7RIh5iR16Ghc4/A19m0GpeUyFMwnq+DBowc3Xr3o+yiU5cCjGeVO4v4EfT
g2t3ebzSVeJ9OCJyxVrH0uUdjNA85NPhyCtySyWJ9RHO1vQCA4OpkjdMz2iw+eW1MHMq5u9Yd1k0
bdOu7vZEFKBCL+zhYrRlbwHxeu/gxef3zK+cfaEmxM5GqeCIBnXZTWFeoTNAku1Pgr0wUyQmaHmN
nMTqtk5Rju8JrKoNNkds2OjHmCov1njCFFtwNJaDeeyXtLxtp37klIsc+2mZbJu5VEhJG08pgmh9
1VE20RQd65ysmhXN0HRfGqe91ainxSoLrOxHjrvrp5fGU7+pW/Q9uBMq2olpcvaZKNuHqVjYZTAx
VY+gfgJQDW62pxnWd6Vj6YcqicyxZ3l+kMMiP/ltFHcTO+KzYUq+C/GevA31GKM0ytr5wXMYSQGY
61FVLpPb2GvW+b1jNuC20p3hDFVr+B74eDIWi9iemvJr4LhGrZ0Kz8M4WcNdgeQZh7QsmYwBy8bh
VDThPm2zGfZ/gVd8h3RBPSzJpI4UacHTRL1+ML4V3yq7nu/ZBbrYJg2igGoS9ctY2eYW1BgXuFUv
u6y3kEM5s3dns7oAmQUe4xZo2PzQe9gHgMSzqaaapZqv8OlGXxiWehdsKqDVyoUMu6U3wU+652k3
51O1c0qRPKcyRILjlwmiwLA6XWt25njELh5ao8rvyKbHY5/5Zpf2pfjI5zp5QQGmb7KhtCf6Ark8
k3g93tMeafQH8/KNZtXaDHGTnIdJFodMAqahls1GFrFmGlEMJMEeQ8LEAVyQONoxgaOfUrtExcWb
47vJ1nSqexqhDn/LWa8PyH7L/EUgp9w4nUUoE4cZ/sAZdbDdieWH8XWUrOwsXc6Ziliph5G1scfU
sOj1rH0pRPthgX7asm5j4ZAV4H8sWsA9rP+RPX9gkyVYFZm4xKkc75JSoo9vxza5gKYQqyQEza4c
6R1NTjoZLlazdTFX7Ia2dC6ePZYnC7HXB4hsLE7JkoVrRGQ8/O0ZqT/pV2O/nTy2vkkn4oc2Lgoe
YlX1VFyZijhgaVYtVT+N+LHOzFT8G4KConWAw7Vd+Tx49k5yHe0Ajl+2USaddN14qXUrRZi/a6Pm
R4/ZdLOi92V0n0tZnRw5sgZC8ZA8Br2HWNtgbuds7vZkXWJBmjoCrdkrqXaTOgnNPkOwCtlo09in
VInkHNgRc/k0sW6jWfSPqeXPW+ohKTdp3yfn1B8ks2bLQ2IUNOmdmwblTaDL/rtC4smAqdhCg8HZ
L+sq27K+CZnvl+b73IbeOUWgcAtMIP7iaUL+VsI43kINxCbQCWd9xFr+Q7D6xDE36K1VwZlgF+w/
JlVJuu5Upc2TbcXJo3REubPyIdhWbdQdG4ujvlMiupkRnzEHJEQFz1YWfvGzuL2lWXMO7SjYA1Yh
goV1qxUO6rDcNXFon7hxl73MyoIKbc5vwAY5PxvHY+UUwGggayZKozXwrOHWhBHuQZpY+0MSxfPR
+E28K+u62TbZnBGEgwYjqn2k1ZP2zpOT6GOf05Wv/CwqYSSO6Dwp25ALdiqtb+ogsLjfBnCRHmXM
zeAr53UmfPOWHeX02JWjd6xa7b9BE3TvoMW3D0j6g0MCrEvvA4Qbb8nCCrHPrWHZh2Of7HPOjvsJ
uM+jSGoWoOWIkJdrunsitD3bNLDO1jxWvQyxHj68tYSJuklbv+82U2i+9qPDIFOYi6LE2HOCpcdl
Rl9OIen5O+bizpEjmoWRY4+vpEXHz9Ajs+cxHYtb2cb9lzpamOyGMjim6SA6QhXDH3DdKUp8/dax
pl7aFPgTW4wNBvYUnl0VRY/waJCfcaHexEWPOMpWQ3IZS4ik6TxYlzjgdkA3YzjidXA1xg7DS4lA
nG8zF+OzRKf/UEC4/B4wZf5qa9H5qwor9q2VucuDRzG4ZdsYX2JXJj8Zx3Udf6yh88xEmiIlDXuW
dsxEGYGOPO3hZIjwpmd2xAWTwbfCfTnOuyCbzKtrItpx5gmcf4yn17R0iaLjKdvvygrTc91hhaYC
CqVZ6RR3nYtN+n6Rnbgl2rdGbMnoedX0GqImzAH2Fwh1DrKYk3yditlDp591h2UY1GZAPHpxsnI8
ZVMPIC2JMgutZ+qkqyQV6Bcj8ijWnpeHz3GDB7eVDJpbdf2Joo7xpjPT7qTBlH1L7Fzd+9c2cD1N
4WdZD/4TVlJ9YJuMwAGkV2Nh5G3Ew8h44lL5uFirtORyioPsdZ4hKa28UUbP1FXV8RpYd5aITuG3
eoG+xZThb6VxXS4tnrvsuQCTwDFsbJt+riCsLYYfx7toePlOSsSbRcgjM1JZ7OaRGKM2wKNnOTK/
KRKs1WuJh3ubDN7y7CRFdtRRO94HMyKMhA3LgxKjf0GoikprtEfBUlX1e8d0qF7MoLsbVL7Rwcr7
4tQQIoAJx22sQ6qc5rlerPlHSZu2boIyu00sH0SIsdyf0VAwMQ697r1oA3NqgFihjkrdT7LfuQ99
GVzGLGdBzrE5E/IztcS0V9O4t7tseMvhxvKoVtnN2LrRvRo0W/VQFbd+0LO1HT1YX5Vf+veci9mn
25Teq7s4pdpMs4vfurav6ht0zfRJ9QjhLAZogzEcQ4RmSrnVKrAw9M1ugd/QNae4dL0zo72EuXbf
r+tSMFFkIZ4x72O8tsKDTSSC1XvvjnPFsDBngiTpN/NaZ5G/U6mpPlTjNK8JJhrwvCQwrYBBXmkT
CF/WFHXBlqdevAYnEv3IqnDax+2V6Nrk8oLZfDkpE9n8lqd225TuKFYiZs+2xPWgtvStwX6JTfKz
hS/Zr6ZFYeqDKvbmkrczrKwEgYZkrv+sTDKixk+Tl7RxMek7ZT8jJysiMDWpFgwp0KWvwj4Yfrrh
yCx5dkLnftZ29L1jHAsaDn7rCnH4cnGZ5iLbD1txj1nviAsBsmjHV0Z8LPLVdTyJ/hXVWPwNGGGp
Tv2MBg9xeUcLHGfhV7es6hPOBvceoH/0LImRRwKXz/Gm4lNgQJk40vWSDrfY2QjE0Ax1S2sCesMy
KDu7ZJYcaR2D22CIKKR5lm8qeHaXZajDD5ZX5VengcrTVUH4SKY7CC6RKHdD2HRwZBtR38NPI9gs
teRn7Ahv17qUGSAszfuQIQX2lsGsKtXjyCQ/MYKK46YvSZN153Dxo/NgNfYF/4az0+MS3bmBxVWB
wd+/I6wtW88YcjZLYzswj6RiDlyGW1TC+glphn2bpPn01vvsMtZWMSXn0VXyxo3EgTBcOmcklrUF
NpFBJqK8Y9BAk2d9mWCl0dUXhNEIqFlnoTSmaXpOE43MCWrMUzwKnz4TuQlsErNb7KZ69Vi8/2yx
ce/7LMov85gBG7yCk8Y4wNnlByyZO2p/oMGtOIU84TfxVcJCPVDfVrEs78SI8hi1RRKc+LUs6ypL
oq8TTQCoUEjU86p3cG27fJS9P9nDLikS75UZkwLclFkMjBEhzdbyFINGO2BL0TtpoElLzr/rQ33A
zU29yNMnao8GsRWQ7XTZovQ068xxi8uAo3nkj+fsW1yqjyjo8F37yh0+csAvKI4t+51pA+2qBL0E
BG8aNnMXyXeyhJ5Aj5ht1DnzWRTEXOY880pqL9kcdGiBD7GAuVQIs2Yc2JmDSxdj5Iu2q2YLqhQD
Rh8O1oMzVNa5AUz4ZjxH/ygt6X/m1fVDd0arNa1LurN5VrEDBX9k2zEoaBTiO5ZqC81JcgNiI0fi
yJFBVXD9uX1h2hOgbcmzIKkP8xxa5yCSFOwZAhMek0iGZ7cJv6jFSe+mitn0iFSdyk2JfcNycpdN
VnPpu7DelyWzZy1MfTEo5KeNN9o5Jh0bQsyCJlKvCsEmax0Dqb3Xfuh3zFpiRAN56GCJuxZcYQ01
u/cqNjkVJoap682Gm0o+1iZKPiO0OcgsclLiQzcndU+1efGNqZw3rZXBvIjdnPYrSk1054nG3VPj
tbiSkA/arfOW2eBhA9XKjWV6c/IaqTq8BXrKdhMjKOSK9uzeOLNPyVQ1WIIokJvu0QPMuY9Tk1EF
UfQFLM75Wp0JuwL+BQ+JhfDdfGbxOXIWuj6PQ3gdUYkK3FbfiI+b9raMOJhLGnT8mJnLo7l3+oeJ
9XFyPecw1rFWj+/pXLHcqFx+t1llImBRnbpg8A9v+9H2bEovpv1zXA4biqbaXxvLA3gVtwVGQU8i
L7kBr+D8bIuqBgKDeGtPhKbVr1SR6h9hNGUMF+q2O0PBju+9QRekjea9WD6jdJnvTRmFzY4DAMtr
lwr6GQNWC0FQFHItlUWQPQ4RSB5ksUGx18gWcK2gln1lvToeMfYhv530MG3DsO/fsrQUVM5WdAqc
Sty0nZfveIbG0KG6xFxasoD2SeFb0PKXAiYMBKwahJeDcRP6IONd125FB+hS9jvZpQG2My3Bavgc
EfdpAPNZwCi+ZeKAArL3Yta1ILgeKgNqfQhH/QkNZjxpL8YlCVcA73nUBxLxmhlfpgCVJG2k/zJa
ofUZFybdh22rzqFwBBKzrOuf26SI9pGPSK+P0vFDziYDwmFbgB0AaD6g7DMPgWWyG3umZ6R+j+VR
lAkgTTZw5rHLmuKHcDsHgW9UuSs3XByEMUu4UZUFY7RwgvBrnFP5bAGXRN1GSLIUGXgojppoecpb
3e9QBCDXqaVl/ew44JBTdYm8Caao2iWCO19Uvn3oZwradWbTBbpkhJ7w3FmXagIlNuZ9sxuIKIW/
lQXLF0hP3HeIpFYxTzCKUIKmuJuSq0dgjjEBdlb6NGGY/xh8t/jBiDJ6D32TAaSX6nMZLB9qRTl/
WbIFnk7YpvvIHt8DZ3FhiJZedyt14H9pXD0/shJw5i0YYe+mVlb9BoRu2KexrDatSPt1UXqEqtHa
ZPolLbvQW8u6a+5K+PTf/bC6ukIxF971GjONnVKTgjIhd9arm4Yj1CX00cURCLMeqKnlBltjV9Yp
n4tDpbO79AqoGav6aoAFM1LTgqXvyLmLz7KJ/V00xuYpDS13D9ivJWnO2Ay52qjGIqvDnu6ojt+Y
nWco6W2RI6WIO0hpk2ni90a5y08zXmWOQg43iINbJEEKt1KGi5A2nYfajQs8rFwz71u+DirjyPGh
Mm0T7PZcmaVfn5mTBt8LbkwDoxs4i05ZLruOQ64dPNc9UZdLt3dmenQU0lW9rau+xPgnYH3T7Y2o
uW2BZDNirdpuxQy11AIxx+majM0Oq1r2oYdGfKgoW55cxjCPCVcbwwmZnYs8aW4Eo6H9iKl/39L5
DEjn6AnonGhmuhnUzEAMApGPYTQ8D5FdwmK1whtN3ci4zGJaYuTQ3cypEc/BwumXZaHZ0VzAgPbN
vK1tjCgaK+cD+g577aKKWUUGxLRU0t31nDLoFL3xIaRa2Gb5Yh3GzEcfpBx6n9QMN6KSzWVkKvpW
2v1APQwW5ViVbossMsxfJZaAOyFd+NB94yjczCj60Zg3/tehLEhPmHBWVn7ffiQ51OGA1fCWFDWE
CbW8ovaIAuk2fGHi4CzGUJinyRNb4vpi1+mIgXjAW+r6IbwCpQ4ZOvotDwT/dioMLkp7tl/rAIgT
cclCoSWdUDuyOjnVkxAPddPbhzGvMnphhF2VEzeIHzwr/kbmAZQpJ4x1t2+g4WBkZR/VRHZ87vMh
QtCGZHbYxJxxX8e8hhspZem8sxSOn6UiRuNGNtDN8dE0ob0OyYNW68COw9c5isZb7F7m6OQjiYka
58HaD/Tsv2s5jgUKySmRO+AVo4QlMZsXoED2GXKxfjZ2hkcOnIxLEdd67LlM6op8S3UPM0pxj34t
Zmt4ZVKpNqaY09vSVOqtDNPgrIyfM4kmZ2wLsKZkTr8sMbsZL9YOhoiS1Ig+tnD/0DFhdLGCoj64
GhnpiseOpTdJNs9PKPEBdqPhSNEb6358Ri7gXMAcWF+k71no7vqFQWPY+SN0MBC6B07lYeB8X9Sb
mq5m4thx+RvazI6/tyeGH1sLheBz46sUYzUn7XcIEAZ8/BRWOY0LAr9DFeD+4/zy2Owb9n2cJAlo
E0jMIDwgnqFZkEne1Lu5UZ45cJaB2STjODvxd9vx6+w7Iv2CLqA3Bw3VsQBJYy10uFxZcLSQZ1c2
x3YdKrUNyVWodsizxddiXDx1ya0gz/c52t/6EbkDe45FhhGWu4jMJBAl5fTDUjh6NnRw8KeDWNGk
+cniJcdGBEhUrMrq4vXY6nE69kUsvDVWWfhYDkELuziz9KOIKVO3vHSDA5R9MFPOOFPOvsGBAyeR
PRIOHusac8BNslhTxhNbzPmhHDRdyoga6LbLjQdro+nFY1MmCgVFbqG/da07p0qqEUeFad5kFJfL
aURE/qjauvxcIJTs63JR9x1STVaZZEmUhQe30oNr6ADOiybMnq4SG0zGy09RWg1K9BQeyiEbcudD
E0m+rECiUpfZIYKjTR024E0yKaKtmhZ0S5Ibl2NoeYmWGV96V7aRd1VClodoVB0jyqEYTrU7mefC
I+Ilt1V4tCWeyZ3O8Pl4NcXVbJPjludkqcRNP5yBMLq3nHPD29LPale6i92v4LuUJ8w73ZuAanDk
vpWXNsryQ6Pi+oGFa3aTJ1dqfR2E/jOKHf8nzAnx0YOpxnkSBjm7LUZS66FK4Cv0bueeXdzGuxx/
EwYn6tQfPackTpIkqU8dPKGnAnbJlhhZsWqXYGSHFPRPIgK64aSD/7tdcXhCf1089iiY1ox9m0c3
n5wTt5XZogES5yyEDe6lvXmuQVM+kQoQ3mrPnY9TsLCgAwoFNHupd3beemtEUcHPoAiCCxpcbOCM
+Ni/FTjddiWOmdcZTufOK7rqxtgeLJxpZr7TV6pbFzjTXjFaY1guDD74kozoDXvt8GvJ6sFfxbV2
dhMuxPvC01245U6x3voqlbTSoLs7hEEw8TxbjzvT+CVzj9F/zXo1VKi4wvIuZbN/jt2e/aA9Zh4L
xLC7APWig+gE/icZ1aiYkg7BFab4gJ2+HU93Hcie23mQ6TqSZtjGAmbRKq4cPO/jgNDey/MNZoji
A244VAkNTvtLmc4gFFj/xDcOL0eqjBhqNv0EOId3Q586oGKszvlU4EU2jpcvzwSqGGv7nwtpnhvB
v38mXf+iotn/aK44af3nv/T/UEDj/jUP+zn/WtRf5ecfRTS//y//ENEEiGggePgoE0KkNP8jokmi
3zyfFQhG/YAK2f2Dhsb+jTDVkOE4kFUvpBH5Hw0NL+a4MNIY4HiRw0u6/4mG5oqg/qfQJYpDoipY
gQQJYp4gQenzq+Al0HVXirjUByOs/ly6iD7pksOA9i5HPfEHXdG/ENZcX+xPbxaHMR8/iZH/uMGf
hDuFtDDFOF6H4jXvN1bqwucopmwDZzA7jGgU/l029L96Q/Dbict/PNeP/pTZVpL34MWqUAfW9Q6G
Pb+wLsTSa1qfGtpOOHr/Jo/u1xDR37/OxGcQ4bj8XoPYvkqW/pByyRwyl+VE6pUYmjK70hkg3Oax
vNeGLIgmBYU4uEP7mQWV+Tdf7q9qKN7a42Jwk4SYzdC/SrZ+fesEMbx07I6vtCT3u6Qx32EG+Hfv
8r+uF96FH4xv041Cj2X2r+/C9A57asC7dBhNb2j1gleRWS5ciQIO1l9fLtfX+uVyub4X6V2+TRpr
nIR/CmW8WoHk0o/dAYbPdqipi3ujnwaPcSbu4cdRpnd//Yb/6oe7Boc6ic81mlxlc3/87Xmjshb2
IzjbEwvfKALbA8Qlaz9Hwfe/ficn8H+VmPH7iqMwiF2EqciU+OdPl0oBLSoLkwbRdTyas4un92Mg
moU5IGPYh46UIgjZaXR9XkxxuW6JAunLOKJjL33rk1qQsnI26lOBJfahRkCWWlsqiSzAbwkFtcgX
ImYCcVWhW8xbUOjq2TzlLhUrMvM6x13kdM5T1iGFdRcXc9bQFTMJTymGPuiexBctjec8VFA+Bkgk
lveE+R38dBjVnkaC1AFlbNhdtnCnaomeHH06LUjiy/QWMi2i1poWMFsZIpp8cDyL++AQmgTeT0Wh
orBoqhrBLI2+5aP7QmId5zeLdK0CUDWfVV7V3fG726UNhjS7i6adF7l99eayq6LmJbYYTbP2lhwc
0KDoVxjs6EXld/A0/4bCR/LxNoxhh9BqwXI7nkxZJAjzekAv2JdQEcKTrhI0IF4nuw9QbEWP59E1
PNw9ROn5hqHxUH/AQspgLARwV/RulmoAIliKKLodbV9bd3YJovm28ZJcM/XIo+JmcF3ruatTOlsG
+QM5dI3DugLs6XBP924VmxFrc7+N4z7OIUOgTrgJ2lJ96VJ8ptBmkBLB0i9MTWRA0bOFXYW0U+JE
BIoYqTYgSLK3hjhALCsW2VM6VngpnSqiD1eIM/yNbcuw3TqB24Xr1MM/sC5Al9pPtvRQ5hUxQxLK
tcy9kkdtEo7cySlewKJFw2smF7fdRbnHfBRJSUeegC2kOeWdCOIzc5DEhz7ayWIjwTOATxOjxI1E
egByqIzJ5Dc/r7prbSutsGBMW/j3xiLjEYGzANLTiMI0GK/yaXmAYJQGLzNCbbORObjtLVvPSpyc
4IpOiIfagXCnkzFKvtAUugwAO/qY5DZniFhs4iz/Xafld8PedFGe3NhpEhDONSVpdtHCQ/Lfpl4w
oN+e8imGqQ5oDdimMyE0yV3yvteStR57Y/Y6jFuRYbQF3nlzjZUJC508gFmNh1tAK6P9KiG8483s
3OQy9DXTEER6i3qsnSTR997M5ckYP5AvqoXnCI5GeO1uKMbR2/Z4BN68aknCjSPhUTFYq1T+Fud+
dW4nit4V+rhIHvxOWvmjiRiBbSDZ2FTA9jDiIheed85hurRbLAy62xWR7ZLMy3qye+ZqT14Q1SDi
byu7f2kgbzlbK18Aw6FRmZCipTLToLCY6cFqJMs0/+wYYA1ru+JAvCA4j+oTXmpGM8xacZeKugvk
Q0hfyQC/a6FB9cQUgYOfXX/JVw7S1ungGTESoSaiCm8fsaJ64xrhw3kbUuNuUNnPl15XZbspsdaX
a0Xmg1gFFQL7A8UoIphygfC/ZuIv0i0JQ0RTeEKPw4VcJxv3YDmKH3OfT3sjjIXOQ8XlN0LXs4WU
BpJo1oESabfnbh/uW4WaCSFi0X+XXph+gy07xJspbvDK2K6gto4ASZcbHcU9B1uJ0WZTuXp4aFH7
BzQljvUDAQgUlIHC+A3yv2AkFlgLayovgx+SkfZ5M1cj8MSGAwmr5FIugGArK36IxZQD2+NQwnfg
y+FeW71iJFhldoSifhnZLedZe1VoBfSbtU69YxJ7BbRPz6rkegJsB12SnT/+bJ5N3hmhIKh9VIvp
i03G21Or8tTdp02u6t1g8v9m77x642bSPf9d9p4HLJLFcKsOVLQky7Ik3xC2bDOnYuan3x/7nF24
Ka0amusF3hlg8GJUXcUKT/iHAqEVam4I2fWeusV7D5kbO/a8pYU4ekhKF078ZHYlAJ7SiMWr3YXq
J/6dQ7hHvYliE9CV+gE2LflN70TAQGZAugg88SSBpkSQDc3DPIWArUUmQqD9BIm7dq3qIpaZ3vmY
AaFuAUbKhl8+2+aFk1H2Qy+i7UD7t471s9ZdwHdcpOiI0ioHP5dUwISW0oxj4aYhrBtlYJtK4zKb
r4sZofCzGZn9RzTi8z8zOu2/yooMv4B/8OLRnfV5+/JniXHRs6CSmnEnjAkK+fA8lm+GexFpLsJb
F4gv0k2gvzgglgwbpz0TzRzt+wR7ifO6HbS/o964t8TeeBLFzhi/yDJ3XzKsNr8Bk3PBRZU1Mmng
C6BYUs40Td+Ip/Z1yLUAiejcptXX5HFyjyR6QEGxKc0aN5E6+WOIAqxA5YYdK0df6zsmIRL1NIAH
DxTwqx+Tjmpw3JZbdNDc3YzoIYLpial+oRqYXiMhtk8B0INWKFEvBeLjPiJcnX7TMllcAW5A86B4
qZpxj+5FvA1yfPfwCzNfcpp1T7ry7Cf0Sq4RvO9utCrBhdAa0ua6bSRlTjfBo8tI6aspnPmwR6qj
6LrVqmGnKIN+rVNtvsL378Ywym6bN0Z5s2juyzN6u/NdXNu4t2ZzRjtK8zZIrzh7T2rmE2Sh3WBG
Xyu3cu5yLLPdHdLf8m89GcktGWd+qcOjR5nLo3oGMqnFJwyPRRMP4E2up49sCgEGCdDzNzMTzlaf
5H3uDd2lJXrL2jRacZWU9hVTCC9RcFlu3Nl50eZK3pRWzt9saR1cak5LuzUpow7xQBr3f5DYMV41
LbX+4M4gAlRce5f3bHyKB+dvUvb95VKEumuKDPqd0xdbS1r1HzlhJbMdmmTyAOZRqtpQl4UwXnWK
VtsCZQZ6h1xzr7XiqUKe6wugZsRYFeQeqIz4zFIVc8Nd1wrtPEOrZxFcrOAzS336ZuLlTqmMk/gH
9Y0y9d3Us+8d1uULtFxa6WP0mie65GKxwvYqxzjgBgAGEFlVKe96UShB8mVhE8U16F8qckAia+pI
eFXWYXzp6QDUglgExTnKQTjK1PguuPuJYmlAq8WwsLPp2qS7svQSZc3OQirHB9eaEX5UsuIEu9Em
GqLO2A14N95XfcxBzeIhF3uqf3TXKChNeGR0lFLoTVNR3tDVRJg4oAZnY0nh3EoVpznNNU8+VwZg
2AlccI8X0Ng9Q+Nu3BeCIPWEZcBQPKSIUv2i2laq8wbwybBvKXRVXyIRlhs37RUeh3DyXWxFKBjf
OrWjZh/WoRdfaFbf9Uh3mYJ2sWbA8pooUD+r1MnL53LyOjqtApR3MUIsOHMoXyIZDkd/3KBcnNhn
2Ca0+yox2ofFJwoFkCRWZ71ppDjAadA06Jzm8bMrqn7cpIZsMFcwNW8EMMikNsYYIyZcmYi4o/wg
tnlf92galkb9N2/D/iaJTPOSWKf6ivK7El816fG4x6aV/R1RDsDM04zMAs4B1BacKJP8Tkd89tmg
IhtuzaqonoIgL3dUmiLUc1OrewT/h5mLYdUkPvBOcg1YNHjms3JoFdY3gYdcm8vmKjZWpmyOepBA
tBKiu6/RZjn3IDpEGBC08T6o8/wqaFCKNcnxQCZho7xTed1/B9EzvTYDhF6UFJzsWte64HaujJQb
EMNjsMFuFYxXFGMJCUUXB8lP2zOgesdSLWCuSSS3bpJo35AsWYwV3Yg7cZzSurjNgjxtUSQ3w2dO
LNGuytvuaWw1dxtlRvqzDjSShI6WzF0ZCO4VfQbe55TEsXFnXtNfRaIKwLb3tXTHxjtLnaB6nNwO
ZGQL4mGPaFB31dq4gQr6JM3GSofhfCrF4KMKPl6AE0B1nqydI22Hl3kLfknXimpxOw6wU0qeUhNP
XBylJgw/aYtwe6bXXUygWWpU0FW4ZGJDlBuPuD7gWmMTXTjUKwmCOgLsMQIR2YMk/g7c9D7nOdt7
g9HsKkfVf8dC2awD+c95Jwh5ixHhxk5E7VNO3/8RNX60zIr6AsL3i07LzGys4taFeJsE8Z7WaM49
jnCM5rXXFcnh1gbYHAbC+otu5oWIMUOkuOAHAUkfZo1n8BN8GYrbYs64djyeVKcIn9ICR2DAsoIe
Zav2CATvYTOcyah0vlCWpyOGJdoZdtTb0A438+h0PoTv70TqiLtSWQ91ut3YSDcAyQFkJPodWhMF
amWwplGJSn7Cz6fP7GCxm1rfROdEeAPONAGqEPd3S2T0E4n+Cbrqi9hw7yad+xqz9BLRQFRBgGsV
3vcOugP1cKLrYK5uI5UukrlUSONmPK+BRCF1Xjs3BUW0nbHo5neDCVqMxdmEQLG/pkAQsOuKzlUA
aElTcvC1Ln2oCbtAikSXror4LngIb9BdM86tBipNZdbfTbp4bsL/N8hASqM5UOxbNAfOAAM9NBEH
O+mI8ijUivnFg54srJrULRvCV/78tBNZU24nLJTPLFX9EXpyNTZBdwca02s3uDxdA+Le56Dv4QaV
6PNkjXdJ69LYY/IUnCFo8Muee+Niwd6cwbKK9wVG6ICYgR2bUym3gFvvQcA8hLG2WE86NxM2cTdt
FpkPOKONzUbzkGe3KiPYdSrVv6EMYJoomEorYR+Xg7XTOvNC78IOFpYCRngGE51otNStClGJdniK
8xlUX+Q20VOO6xM3TEZzMfDMLzCOs29m4VAMJyxalD3nX65I/+gWBGFEa5rwonARjfAI+yfIq7D9
gz0KCCSLwJZ/dJ5Mb0bS6u0cY5jQmekuAfmwz1rgzxu0pbeW9z2dBzp7PVwI4Fo7K0aJunUmkjjp
2Ztc1bdzAXGls+ks4l2AJ7bAAAgwWLGrtUH7Y/I4gJQbqi9om/3lqF2DBfqaLM7bxHQ3YDB3o6gv
Wtu5oDiIckf5rdYz59or80cM13FZMqt+n7axhz6PFKQgVAUrqvtNtMuA/3zPOx3ZnwCg/EWmQb01
K/MJgd50w232N8yKcVu63p4cwzjrRte7DdDNeRCDkV0CHcSuYOKchB3CBDBm0BoK8HIzU/XVhpWD
Zyy4/jORD+VvrBHtO6frieRC7YlmZHCFgEP9zcFmBCQOcgFpw8VYAwvaBKFV3I9IZm1sElb0EMOH
tCkfABGa3wHvP3p27G4LkOiXTk2DquOxtg3HPYPQ6N7DbCpeqBgVrwXKXCFK8F8yQLBnmmDXgWO+
CjVwMVn4o5yBHGSiRNmkDXhynU78EEHuPZc474kzQFzZD8a4UKAutn3T6a+NLZ39QNA7nClRTefs
2MZP43kkRUK8ihfZogQF/uER2bn+okD66Feqwxq+oWsPMZvtGnjUBwLX2WYRyr/mAjJJKWAZaDgt
0BOd+nBM/nSL9nBzT6d7AIBhq2oTuG7+Qyb8qbGr6YiGCn3jPslviPvdTdtmD11rznwEUba/RKzb
AG5bm0VNim9ZCaafBqTKfMzDKRJj7mbeVgOMPKKmBK4dsTBzGh3UK6jJi33oDc15a5vjqzNMkM5R
cS7PCse+RMdQndOLKrGP1vGfhkXQXOIgoU/Y5SXDE1wQA/1nxOruatkW4Ce6KL9DH/QhpAiHvJyd
X2NgjMCpbYhwxhtDg5iOWmDsT10YbaOpQPqb44nQ0TThRbXTFQ4wdZFHe3OO9fu2RHwLSFaSP1Jn
ky8gsrsviz9jjWZvNP0V4JNBfk7dAyUWvHXQ+wRSKzzZ7XnZUKfhdcLpybH1ujsPWyisV1ZVtz9r
soGXXG8Xrr/tyHvTgoLA/oWjuWlT9jfuhQFUmdlromvn4DhVHdynUOHRv/YHTyogFfhToT+DVxWa
3IAO9MXCqilC0DedYzbYR9qjR0d4Xhyv5MH9yusWJyzdEjRSe4JXNEBome5oSeObBTXLWEhdVPXP
IjRrZppgi88WjYDkeoYNBCfVimjXT2lbeFcOpPjlTOT5BexBaEBSLh5eVhWrv2PrJZyQeGhsv5A9
aUUTDgY5LKSHjWaX4rYaC1mfwdMZkMAevebZaFT0AzdB4kmBVmN2ZgT5SHGW5At1XUQUvsYHDzKj
X/zIuC7wJoOSKymEdq4j0Vep8S/D1wt5S/vgayYhH7yUeYLbWWZgfAZJrMvOrcUOranYVjy4B5c0
2bdo0gOMVRcoK0J3ig6uaimSpnQXDm5rZoy3B5oxegb/FNGFatd0UXlnWvn8KqrFsW2qIje7iIcK
JzddRqmPeg7+bqObJjfTf7u+1ZH8IQ9ecFCR5uyCMu6w6EIoA2mlusE7jv0EGku6CVhQV+9NdAUB
If2aGlndILCggPmw0iiTVCglA54PYPVki11dGgfUovBuih9nmDSIDNiLbsuoLz530C3wvAvQVgnO
soMX3gg+zQVmTMufxCOAidnWNYC1g4tefXDU40fgrucMGO3hZ4HnXoF4CFEl9VZiEJO64SOlRHU/
mJ1AXS+lYs3WjXHxc2aoMsHB2888+PzZWBk81b1CPGb2dLS5CD/AfJatwmswzrEE3XeFhqCxS2/g
Eazp4id48BYsm3x+Lmv2yhlZvDnAxk3l63zwJMxUa9xiJRr+4dDR/9b6KqspsBsRgucKGDnmIMwA
BZ7W3baDQqUvsKzLEvnJa9rmNKepsS1Aphm/xFop5woBIBST0DIdLqrFWdGj/rcJquZpmGKa9OnB
fnGgLuIggF9NL7hpVechWonUXBA/E1t1sHCc+HIVwKLF2jHpka2aLQPDR/dg/ggnmZJUcTCFJGqj
RCsPZpF6jxLRFgQQJDnTiG6ohwW/qwbtO2K4Eu1JA2kOQNYHG8ppnCjvG4s7pXTN/pfZ1UB5xFi4
POPNAroCNElfIZ1HVPjGg90lVhDIXvTQowJO/oiOcD+MKD1XHk6ZRIjQCfTWye/tg5Um9VOk0dPC
G77aegmQJod7iB01yJ99b+I1fT7R9WNTonuabSCyAvERIXIHdxAogRAHKbQnQMyLxWd9sPs0xwH9
ot4D1bppRCl4aMHc4A+3OIV2B9NQmxrhM/5B3dfaXlTpwHIat5IaM0ZfMGo1UIxejENBNqPNlB2s
SRfNOqgjHe4OJEdt8+qhZHNRHixN64z1RaxxsToNJmcCmYo/RXleHuxQvYM1ahPYMbB8myiyO5in
TgcjVS2FOthIZ7FXPVitpgfb1WFxYJ1FAyOkwkvrzEAduvvjHOxaVTQiuBsACz3X0sXQlV0PKjVI
8HlVWYPla3+wfx2BeoEaMPX6Tqlaf6YS3P3iZGMa606p/A25gFYZZgLItSPfgsUsaVV8k4wuxrN4
XrRcW4sfrVsgA4bO0YxyW5wjNBei8vWbcjaoJQjcVBGYVXqVHoxuwy4lUKL2Ah44xJQFOdyDL27m
mtnW0CqKG0HnTOhg67joAgXGUDeHZIDlFJ32ahNaeO5C1qS5YxyseOvZxJYXj1j8PQRJ6V9U11oE
KkP1iK8eZr61Hknqh4vHb3mw+4055k/qYAJc4rMSn4XGYg7c9pTyzpwKz+DMcHA8MbWEEkI9Vpbh
t4vDMFQcdl6lkoabLM86tKfU7L5YNG5ftdoskq1nFou0LhqepBkHI2N1MDXOvL7BGP1gdiytYCBJ
wwE5SyaJKeDii4ytnQKlmlTuBRMyGUWa/R9zwE05TFHR2wz0t/8Q02G3bEzIm50hLOb+pLbvXduU
YvBuO9g0y36c9DMct/XinEAkpKhfhXmG1YFX7zN3ED6oUsKfQWggZVD2hNVQl7r2NI88eFsaHxhG
y6X/4xuZJJsATmLTSTgYTGN0mMZb9J4wntbajoMbHwypnSnDnNp0NcSuW8Dq2eOMG/Qz+E75yu7C
1HoSrXoqyGW+QvDjpRnicubwudVwNeoxoL0IUFmI50g62peyNgnF8iDMb1ULMwFDvlbM1CRdCk44
07DDvCHXs7vYHZe6St+Gr1Ub1c89vEIC89FAo9cWNUmzivCpWBxV2icMMXXqFoKk7y6kGzz8TKsa
yli0QIbsLgKLOQLNeA0z0oKHBm+AhJe1pGQM91Ufdr0nXJpLjVDGviyqHnV6JEijvdNkprmv+wDg
6AwB0zhTVg9LAsX30Ny7qrFeSA9HBLvSqbdvojoWEO68eIybnaK9WSE458BmKpAKIdKwqVASdANk
pNpZD9nVNCU9tKee7OjWgyr0qxdRJvceIPZn2gl1uccFYQp26Iv3NaUn3rILHgnYNzGWEfYleTHK
amjRoptpG7whdDsgwyDN3IY/6shAzKLNzSVnaUJalDWc4b2Ma2O4cSI5h2g9oAyMgC7FVsJlaZR3
k90xg3jAiWYXov31DQaT84zu7IAvXw4wdukH051gNevivLPc9gkC5FBep0g/uLvCKAXhFjDcfBtK
hT0XJc1ebmc8abwLMlEj2M6WdMUWtSzBpsCKFQFadyh+t2bfD19zW4Ma3zh9E+9LO0ZiwIhclJUN
i1CNmiusRgo3k7a32Vq/oqy0npDAwe+hKZUdfqUBwDnHLdbxvjkABYjyEbuN/VjHpS/XJzgVrhs4
YDrZGbi5twFsy15SkkYvKeiI4HVlXbgWneCkVOhoQY1rLwOAkr9Cw2hNlCtT+ahcEH/7osKnGbSl
ojREcqhjiNR6qKrUcsisM7qv+sIRleA9qwi/DZZXIvnbUhgeSrqiEI6EwDEpcnFcKBA8x3lWmT8J
PnXao3m7LHWo4fi0qHre1YOkQhiEmEfgJDSF9LRda6o2SYaFH96OsNiIAZp546EcmG1l2gTQAUIb
YxEiIuMqyXQNUT0xVdcFWDKXzZikDyFvCM5i+UBhhm6xQMGEQrnYK09gCQ310j4Dz25/Nb0qdHd5
kKnHXkusAG34xngNkcIJyPYREvkYZfEG/gOsgjQImLllmYZrrsAqUmjS7qqSbK0bUBTWu+kprdvx
SbnkE3msJ+EJDA6orGPEimfYJstPQm040OFXmI6chpVyNK09twIkmCO9bRfvT/xw8Y1WoKKue7cf
Y9aW1MfHlJAqTdFluXZi3m9wLPwMS3cAkMHXNaW1mrdZItdKs7071yvRf2OXa9uqc6ENoYV68/ES
v0EdeRBQLY+hHGm4jlh+yj+Ap1yZNmImbXsOMNduzsIWQzVqf9n5x8O8/ZKmoEDgUR8nLXP0FRTI
rstcG4TenvcGb1QNwxHbZA+Byzio/D5G1Pbj8d6uION58JIIYXUBVud4WlyzMDXHuD3XW5QCaL0a
j02M6SLSQNb3j4cSy28/gjmxhAbBle2ZIJ2M9dxSWTtObCDuARZZ+vE86f4wNs0e/soy4uAFOypo
xRX6thNleHy7DNE3l8qonIePf8p7q2xYridMfg/R7+pjZhVQAbrA3XmeJxe6LP9E5fASZDH+vfp/
sG9M2xOOYQLuQrPpeIHpm86hE7ooSkGtOh+DSp5rOcbvH0/ovd0JdtK2hC2FLsXqMyqLiKxNVEsx
CvgUJ627cgqhTszlvWVzDsg76RgADVfLFkEUnEQXtefTGJiBr1JPa+4Qf8rGq5DyXAlfYKDb+/HU
1jsU1CYCImjOeLYpJXv1eAHtSicHhSfrk9O0fx1pwwymphSlu2rSgpePBztIqv27R5fRQJwiPWY5
UgLiPh4NzZNUuW4z+nT98p9F08Q87qDMF+NT/cLT4WhimGg8GmDJX6twIJrLbXNRTUt2hYmyuUH8
+PXEj1ofnMOPIkzlsrWp+3urr+vq4B2px4x+iFXtpsmUejD7lDK/MaMxnYOUgaHY32In424dlMn2
LdQ7dH7iU0f4nW9hcgly1XLj0nVc3bdynhOo+c3sy7EJfREHJWyAZLjXW9u++3jS6x3NnE1dmiB/
DdMSTP34Q4wTZFYwbrPv0uJAtK0zLjJXNy4/HuW9CfGhPW9BK+to9R2PMqBWqlmI+/ixrVOO7PvY
JfbKPVQ0JvKD6ATQ873hlsG43h0L+OVquNSYwSOKfvLnIAaoN4UA2cz5Bm2T2v94Yu8sn207SFOi
0MSGXsOdRzwiNQdGhG+4SF7Vpk4dQOTj/uNR3pmPbSOO6PFWeQC/V5dbLoj9SUdb32qz4a+yE1Th
Qn38bZf0Dz8e6r0JeQ7XDiqNPIzuaj/gykyXDEUyX7f0GVmn+RmqcLn79CBwtxwDPU7eF7kG4rbl
XBDCeI2PKsWfJC48SGRt9/lP4wiLP86GM9lyqytGtgYabqPT+DOczbPCsqLLIvPUiUDinfUCz+Y4
RCpAtDmvxzsbEzRU9jqr9wHHYSTgpsWloDjy+Q3ggm9wPGnagmFWN1PG+11pKpr8BtHs+1jkCoFy
w9auE8AD/YktsH5+uBJcE2Uf3UDz1rXlauHMotXxb1OjTzTfU78ChKjDwJvQ2w27qX9Ia1UMJ568
d5aR5IVXh0NkYSCyisfY3akCezJCkrenLwLKi59MlpufmNp7w0jPEDaPN9GRsZraHJc5lV96uT2o
9xqacpDb+77RC/2TyO9lDfmPIST7m7dydQOVuAz3qHcMvmOP/Y9Bl+1vQXr4Gvd4JXx8mN5eDouZ
nwmrQ5gIodqrOVHh9iKPiqif48vimyZG533RVj6GivWJdOTt8pGJuC53qiVNqcvV5VB7SObSEfN8
b1jsK3QgtBlUwD+fnZChE1sJEzqARbS8OlIooTdF7UzCDzo98fFxGa+M2saQzUKn8D8ZikuCK88l
xVldrO3YzSl0Y+FbWtVtvTinSTyk/dYxMa76eKjliB5HPMzKWe47mm02ZZ/ji4LqRRfpVgLP0KP4
2/UCBQjPyYyfKgKIvkPz+lsxA17AlDo9cXu8/WwkAZxmhxeeQNxcDQ2A3k4ChJF8ZSbZgzcHSOX3
uvHpmxCMJQ8hJmULnWNhGP2budH21OUoQsfPqQSdF7MTXBuGOkX5eWcuy4UOzegwznoUa4TDB9eA
USTagujNtDsdJsGnoyKeP7BaFoEgEepBzvefLBR8KZ9r1DGhB1ML3newcRnBvGT6LP3FwWWPOI9W
tmRPoIl8vGiAerOGtqzuRzAqt2qy0q01mg58lLT49Pfh4aBwYdjSXJ7F9RU7lL1TWJNcer/hVlk4
0egdQrwfb/O338cCbwvHhgsCu/L1iaL9XkncNZAxXFqTyLqC7IhQNfn8KBB4IGIZy05zVtcrMhjA
7RDL9TuRDDvylt9BlOjbjwd5e7FScYHvS7bnLASz1aOrpXTGQ6+QPqjV9jY0C4TnPGQLpzxDBO3j
sd5ZNou2MwkR1x5HdPVxijGu6Mg4sLQXGOgGNjYu1Mo0+09vbEuiZc6eFpQGeOWP9xtSHgMIzcHy
jRwREaQGAXIBND3xeZa/cnzXEdiBMaGS49Cus1fvBJL9HeWQitlMrrxqLC2kVh3pGxp6xXmJROeJ
8d5ZPcmlauj2Ek6SuR3PylTKgqiiW6ikmfYmKtwZKrwVnPhGb2clqcVBUqM8RcyzTmK41nj/vARQ
p0Kw7WIoA/hBIHACJCfwkYdkXGJFfyJzWn768VJSbpPWgozmjiCmOJ5abnQ9fhGz9I2xE+pr2ixq
V4giokFlJeBNcNJWDbzywITT5lJUt+7yueybE3Nfvtj6ZxCgGRa0zoWOuPqiKHW5QHZQ+slt1VyC
1xK3UiuD/ZSO470levjFZv35d4tCBKwTDrlHDL8OCuvUpa+aZtJPoCEi6LAgMgtkPj4+esby/B3P
zUWTnnPBySAVtpbd9c9lPxeNhhI6zr+xGgBuKkdW4x4I8ULxKdzgi9uUKSZxsRVY2zimiYRsgJ6+
TspF79F2ejA0dlEhwCEj2astCjM1ToGtM1oXUz6239s2HsfNnFo2spLmQprxwgFHdOUkEDZ6zHSQ
p6AA2336m8EI5PHiH+qpZMLH80oh0Mukt1oIgY3awi24CnMi6tGZ9AtSb3fThVN8Ihh9e0YYU5rU
yfWFsGoZx2NO8VjbFUxO38uT+SuxvLYp9Mn7KXK3/+2qzjyRN7wzHkEin406CRW5N+OVyC8bk9b4
HTn/toMeBmc+0HaTLjH4AkP58PFmefsm8BAwQyZHZY4G6fH84tHCVjGzGr9RSX4BYhxbS/DJ4CqD
UwW5t1ODZsz7Q2jvCKi4qyeBkB6aqJaxLWvV/s2KUEcXswi/BMRHW8RbrU/HB9SNiap46IRtUc84
nhr6azSBA12ha6rbl3BebN+WIUYsH6/g27vaMw1qTsTAnk5TYzWtjFr+HKOc5ct2zJ5GSDWb1A2T
E9fmm1Fsg/RBCEIRnm62//FksgoVZwPgtq83JcIk1AfOPSXsi4/n8mY3MAohL2UGG440HZLjUWDk
LM3fpvfpombnkOSicw+Jxqsi623/46HemxDtCu4Bklcb/sPxUFhDK8z9DORDA2k8prmjX2g4tmw/
P4ptEfdanrvE8us90ACTheXZ47YIxsvteus71lGq/eweYN1o71DcFGQK3E3HkwHR0jmV5nZ+yEnb
jWEML2QMik8W60kSEF+jjkHnAZEAsdoDfZmist1nvW+HGHy1Qd1v3RaUw+eXzCFJsBjHsKz1jQDH
UiYYR6DfFZThA3D98KwdpuTX50dhG0vCNj4ON9Dxik3WBFoS/DjF4KgGtKUa4xaD1mz/6WGWF14u
EY60qGgdDxPMGlEdWk7+hOx4eVkgpD1eh7GDnO6nB0IlgjuAjJQK07qTWrbBLEAmdv6MC/mNBoAH
MzWE7j8eZYnQj152qvi03ajOATHlJlifTx2iEOaona8RcSf70IzEIqdSVMXNGJbGXRbqvXMzNL1u
b4xUVuHnD+2S7VNngg4ikWw8Xk6s64HMQyP3O1WVXwwJOxE9xVPV1EM5ez1NoGe24EU6vLvHw8Ch
RrYYQXVkmMzk0gitGJ93TXT7GSOp+8hARieUbvRcoh6xUwrRXIm8/Im1XtZy9SOo3S8CNpSZiO5X
Z7rvU+ozdjz4iMqWX6KmKfcA54ILY4SIBLihHu4cSC/D5uNP/M4VvJSkiEmp3/BIrg4G8w44mV7v
F0UfooMqqq0ue+2mhbr0HwyFrgnpLR8VLMgqy5C550Iq0ns/kvSvQLoMzesEj/W6yUPExD+e13vL
SZXS43uyc1xrtZzFhHJ7JkTv10g5n888xNeFmhApMFpR7au45kMjXfj741GXDbn+iCAcUXFZclDe
z+Od5ILrRECj7ylb5uI+WYSyCq8ZP38xL0m1J0isdSpTq4V0MMUzpQoHv00HcEeV3lxFkKRPfK7l
y7+ZC24jTIfM+k34y1no4lQprv+xns6JFNwEnpYyyjOrAiWOl3gR//388oHeQcabHr/LqT9evtGc
arhEc+/rdZAiggikFaaB/fyfjEKUzQDk1msRmpZ2A3oHPNITXOMLJO5rDEqz8ERa9N5WoNn0f0dZ
VT/iXBX4MdPYqILAhPQP4KcbDG/72bmYOkJGcrm6aDqst8IIJAkMZtz5dFvL3VxhxZGKzjgxyttL
giYqW4FgA2sDCuXH3yXjdTBUbfa+QgYc3C7O1QVKBmmYfrqOQxvQom+rU5mi37lGPFRp3mJ0OvJt
WkS4s6xrL3RwESdC9bfvmimwShMGb6jOWV1dDpmaZOMEKVIv42xbQDwV1WsIsTVs5bgrnt1Avwvy
PoCgkZXDpwMekxCUyMrllieuWhb7n3TZzXNU6iNiBKeBPR1qKDV001Cd2H5vUCyoAR0Ns7rYk8mg
OSjD3nehUtOITCZIZVR3uhzl4TBM5C5PPQVOss3RiZ4jGDQAi2fUM14+vUXFgn/iwgKaRHR0PN9Y
hWzeOMDgMEC1D965de9ppf348Shv73uSL2hn5EUEkzQ/jkdxq9FTejp1PvWcIf2CKD8KBxOWEC+8
LuNVMmGAuVMS8PKJd/vtOafgSJ3AWJLNZU8dD9yoIm9ds2v9fgjrW3sRmzTN1DmxY5dFOr6MwQ/T
32N2YJK4j49HGaIkyPWyWSKhscRIBF4OmqBoHAtXndg57w1FRwOMHpUzGkirodoM+V2EOHsfBSu1
GbQ2p0AM9l/1wv1stYO6Ef1K0EYsIfi81TkMPNV31Nx6v40Qj00B2muj+FMSaiI9ZpyY1zsfiuI9
WANCHQuU0/Lv/zl3A5BJSjcGllZpWe2zoEKbFrnA5vvHG/Gdu4V+JZHUkmdQJl6dO8hcSZhZ5GbT
bKAEkETNDgStvbV6zXqKppC0sHL6Sw17kxM903cmKG3XdakYU1yhTXs8QSrtduFBKfAR66h2fV5M
L2aCZ+6J++ud/UFOCHiTZaTVtk6lMmwuAtRjOx+O/4SJtgaiemfAvK63JbyeHx8v57Jcq41Prw9c
GlfH4WwfTwpzCa/PoMj4TWjiWKZmBCIdp57Ss+GAlB/7OHBOzPDtmBTBlz4cdxb94DUWrjCwmfJo
aPq9Ai5KsUf5geb+Rgh4uLTGVJwItN5+N+JhABDouAkAZIvq4L8bM8oqV9U1dcYIvWfwhk55WVK7
2n68kO9kOWiFLq0yi0ifVvdqmBhLCaU7ZDmem/qonf3UR1yxETn4E4b4DAzxL8vroSOS8i1U9E+n
csvoVFKXnQMGZzW61LRwIEbhfoYD+Vd5RnONCtP09PEk31tKmtEIKJPT0BpcXol/zjhiTlAu0OME
BhEYuB0kiPdaIN4/P4q99DCIhyh6r1vRRdOWjUKqyHc1M8SLXHnnOKucuBuXBTne+Bxm4iBk9qhg
0jY5nsqgvDhpi1z5IAaiTZ2U8neTIKAbJFZy//F83tnvDEXWQvzI51mXk+JWz6STdMovZoV7Fz7p
+TfHrXTzXBq98zWvVfXz4xHfnZzHPUnIalJ5Xu2GuNHHkpaw8sPKSR4wmisNyAXdVG0hQWBY/OnR
uD7oa7lU8anOrkYTUHjnXMfQWFlS7UZ9Uls7KaezoDGTT7/TdG2J6mjf8g8Bz/FXqxCscBGfU37S
dhZoPZE8gglFSjnA6vLjWb2NeACz8UIjvbycq3UPt8Pjq9BGSvc9LZRqo/KiVXciNbp4D+OoTm6L
0dB/D3qQzSfA2O9cJZQFaYLqxP3sG2u1oHUtkjq0CLaEU6k7Xa+76yHZSu073grhBhKUvUWrqdrU
Tb+Fhxx+Ov9leJcFZuglsFye4H9OuREJQ2UzqlfIiUa7qQl0P46SEw/P2y26DGK7kEm44YnWjwdp
6c1Hjd0hvRHRJWwh1Oy6xINTXZ/qi769tBiJugjKr/w3WrLHIwl3gKJuz4h4IZe1Dxtq7XUFA+Xj
7fLefAgcyeE465QM31yNjZmnGCj7kyEWIiUaKgiteRsP09MTV9c7EwIBTC+EsrFLgr38+3++jzK1
xqgd3k+AVSlWkZ286Ics3x0m9P/9wf/XgXKAVfr/wx/8DtHFuKri4k9zpHC8EBX+R+HYsP8L+DWl
JnoQDlBoPvb/2IQL+79Ij2iGc/lyfv+VOBb/hVoCKSmFa6oW5N//V+LYQuL4oBK84K9I4riv/8+v
u/vvN6tZ/e9/7bzX24MfJelfWVxbXP9Ulo63RyqNZoJBhvFllGp7w0FNO5Seuvh4v78dhWh/oRlI
LkfAzKtoGEZPZVVjjo1pL83dFNMBX9z8/M+PYpHBkM8D1eBCOp7L1LcuNFFvuqbRjfhfq8EYb+R4
IkJ8k8yDtVzeZ6D+AJ4AnqxOlOtpbmk71XgNSqHRtxFSZjjOWJH9qAn0BmdpD3/1RtbfMlh9KRJU
IfhwaWcioW+dog/w6VlDDKdAB5yW1vE6mOusJpQjpkTXhd43Wz0aFsMO82Rdfnks/w2BmDV5NV1c
AzTtQp06XlyQaiM0kWq4jlvARNs5jREzxJuyg7cazZXYhINpgAAY6RdukBDMv89zR6oFkqKMsGU2
hhO5/voOPRSmOE4UMfgYhH7HP6hweXPbuOmv47n8BRgMo1tV/u7xbN9/vMDriIyBwBfZJgjQpb+3
rl4jLtHiYl731xOWHK/I2ce7bLbzHYZQ45cSA9wT472zwWj0IGpDOUwut8Iq2gyzrkmAcPTXBBPV
powyWLPpMKLEWDZPWhGgQwRGx/kb2FPzG2hS9DeLbQe1o2n4bIOb64lm4xKHGgQ39FGPF7kpx2Kq
xsq5Sv43Z+fV4zaSruFfRIA53JKSultsu51n7Rti7Bkzh2Imf/15qvdcWJQgovfGwK4HLlWxwhfe
wP1xKGN8+3qO4M6Ruroe5JklegGNC4IQq9/LUbQMr488wepNAdVKGGr/1mjbP97/jDcGAWhJmgz8
iM6SJz/zHw+ha0CIgS/dPAurboPe0cTX1Km1v+6PIu/Li2NCVYNeMLEtzAZARps7qB2gVIo6Kp4x
mk7XE/25TBwHp6XgtWLy+r1xoQdhdAyxdOceeC1ubYdme9IhIKCQQuuXE1SjpMHmpqufHRp0TaDE
WV4dWuEaYT/O5M7W6nSf0D5rdWzY8PNAwXeycHAHPbGi0bEkHzFPVvpPb14QGYETGroAJPjz8lcV
Y9mic+q0zxnQvDowiKbQ4W3V6neRZcI96eVq/haIAb0VcuLR89fo3skCJIWzbWkkIV+E/Z0W0veQ
6N+RMgiDiwUTXijPIjfjnWN7vb/keBSSX9t3cK4uJ1ramJjQMSmey3jSgwkO/dFzauNwfznlcl1+
ZCAafGMN/BwX3/YyMj10foZKFM91lxn6+1x10Bt2VnRgqaLFtRtixzd/IU7P/u0cEDY7m+zGJIlH
eMNtg5ybc3Q5SZQJ5qKFQ/Nctx6va66g3tMse0WY1yRwM0teMlgokD6BxG5nqdpOGddIMD/rq4Lh
4aQUue2ba6X8SLDlaZ70Yph/jbDTFT/uavF19JzyL88WSDbHi9N9wwvQ5eXtpOmMyKN2CjBOrPea
cq9Vys3PdHkagMu4ktq8BWzlRt1YeaFXzwpolq8Tfo4PeruWB3rD6YPjVeM32H7rV0Qxswe7Q7jJ
QLflycNU6i+os9GjsaId4KHFtHMJXeWEkEZlK0piH1yqZltg+YK4yQRLfgkLpU/eD/mo+6Q8FaqH
jZaeSxzGwxgQxiPMB/vRXCf7CAM9/+f+Vr3aK68/ApsOtgvSVVt+iqApqunCg+eZOMMXx4qQu82K
3b0iz9XFR2AYi0nKgMwA8rW59ubEVXOtm2ZE3gGS+cVowCMDyVvFwWRO3pcsKYrvA7run5t8gVXf
rKmDfaaauac6XzP0WeYZG+X7c78KToDUgp+hfohSNfHS5rHp27yGYjTPoTJbRgAevntaLB1peqHs
4YVvDCV7OZI3Q0OClPXySOqA1KehF0OYoYR6mNFSCNNlncPRTe3f92d144uCbpGcGTJxUvHNUBZ7
qokVeMLesBpn2t4mVkJpsxMNyLW5/KDUQ1UIaBTP6XZv9426ZirI37kPh7wfHnED5SQ3Cqabk9l8
FK0R7cDrbo5H3whwi4oOwhYnBjsCGwEETkIV/fzDPDf50Vj6LEBiyjoM2prvpClXIQL0CAgSZChA
dUnL5Sr/EYj0kx1NAvYmVt/I2Btu83FYtW+94WLIOH2IKiwW73+26x0C+IItgqMGD4fubC5trUX7
qSDoCXEyBHSxRl30fXH7+nHIK/Xj/bFev87l15OXDzEzT5QUB9jMLkbhNoqwJgmVlrAD6UqtRmm7
rHPtMLVCxedlWlDKRgwmS5+ceUYUxRaaSyPBzQxEeaa1/wLfH/2XhBLPEHQ1l30glQaSUwK6OQ5y
K9KsQ1MUINZVhKe151aNqxZAvrDdgBB1xfB2nJU8yNCdXg7IENYI62MsX/rpoC8lOnnaFAeu2pjf
78/++oAweSAApEcuWO8tUw6pKLQJFE8NM71rHssYBdsOVZjT20ch8ZHEfeoJVA4uN5CZoOSCMqAW
erWY/y3XwQwSGCxf749yvWsI6TVa8xwMSTqVx+aPbWoudaU05ornGC7s71CWmQ8xFibHqOj3Uupb
y0ZSTfQPqYd28WZCSN0UdVQuamgvM4L4uNIFhg2c/P6EbryKzIg8ThZUyJe31xc2B3OkaooapgYK
mqKqO2qJtrWYOA8k1tFBLuw7P2V43yO/EvRNVB+cbqh2Cra3JmvC5SWV5pBQF7lcVw1FaKKAWgsd
FH1O+QqmIa/dPSjZdTZARYd/XNKwJElqW9XXgRGoBQY0oeH2zRMKQMMYZG63vER2m7VI0EB38qfI
rL66Hq0wjC0UVfPNTBQ10lx9Z380EHndexdvTt6i9k9GQI9tK8ygN7zjE8r3YYMdduBNaN/gLPlW
3hbpj8OVh64NBAhabPIG/mPrLlZrNEWva6Hkk1AudqIXDBmNN1ZWGYXblNqLxzLDoNm0F6LBiwfc
h/rQsfPqL4U6wXlqEC69v2uvXicECgiFiS6J91VKW5dzsRVss+tmWUKzzpO/1UpHd5IKGzhzz/nU
T9gw3h/v6nWiCQTIk6BRp23OkbwcL6NjN1JtmUKlSBWi08hpv6RrUf0nHYwWF58lCvo2FTuH4nq7
Snw7ZSyQutQCANFeDqs6C+rqca+FeLhPIaBWoR68tlM/tsUynNROUxALRGTqo+7F87lFhfIbRkS9
gfxS2Tyqq1E+3V+H69uCyJngA1M69qkM7y9/EVLlgDKKwgi9ybQbv0K7+VCWwvzodK1zFqpdvrPp
vLzriaSfVoG+OdL4irNz11/le/JXmAQJhLcszjYY6pDK4CDVRqiUCZwJJzI9FEPRPIviKDkKTV99
KInWT1WJ8sf7K3B1VuXQnsRmmTA2+CyXC2B4VY5N0GigCmPnP6J5Tn6WSvrpzYOYnFOCEokq4A24
HGSGYrBUdq+Ha1kVCB9GqhrURm39fPMwlNKAgvJa0kTaPsxwG+aVQpkeIv9ffEelU3niMfp/c8f/
lv4//DfKuVtMl2k53SlODQE5XdzNZJwOVHta6SEadMW3rBXlSSW7qv03TwaQH6GcBIKC1NnsTF3J
Gzy0G/TGotw84JqZBu6QFof/YRTIIBQ0qMjBYb+cDCbnWtdVmR4KNxqRbNPTI9oT6871dmOTQW0A
zq5SrwH3Lf/+j6s6d+g2945glMx0z2SK/QFFSHXnMF9falwuvIXy3X0lalyOYldzj+biYIRDFjWf
MstbfpSgCQ74IE1or5bxuyIx051Q+Prm5v5AuYoVBHzERXI5aOvMKy66BWZdSSrCAdHhb1xWymNf
dctD7CgYTdz/YjcuURAyVB55/Cjbkl1cjgjPP4nRZ0YNC0VtXA5F/a4wYxRKtVGHzNPkrt8vqXXu
V9MMPVd0LyiKjo+ZlounMvbKPWrMK5PyIhkg+eUpBr5DuEPas1mCuaiSxa1EGQp7lBqaU1N/stvK
fq4HdfzX1Sf7BUJoUR3tIYqLA1J6vevno9r93SoNxG4MMEV67DAFaR5yb2hKbKB66/PU4XmPeUKF
+8POEspQc/OLedBp+tncfgBCN6FoG0XLipBsicu3AP9jpRD/2zH+TOfGCuOGnvqx6+bpt6thgwMs
VUHycwIxt/M7ZEq2+Rlk2K9lask+3FKbc5Bedp2XTQjrIE18tXSdU+811VNkj4hxZ7ZRYCjlqe27
OlpTXHaHNdnjkl4lAFyTUBFZDCqaNKk3V/MQa+og6NedBfbwT1GKMbdHaABAVo12zuf1LSDvM04L
l42DhMDmRpsXr+CxafQznlHdkx4VGgLqhv4/jCKVZyjKSJmjq15nVyoJYuHGmf3uPOB7LZ6iDB+j
+1vo1rLJF0CSwsg1tnXgKVFT8L2qcU5b5z0SMb+UEXlhLRJvFVLyeM54OqlYAEaF/75ZNN0gINTw
eDubOIOcp6q3fHzYy3M6xr/vT+nG54G3adE3UWmgUEu4vFe8QiRwxgrvjEBtC9BjroI0cff0IW+P
IvX1VGA7VwajC8GFjm2Ke05Gu320Opg2fUn35P5cbnweohrghFzM3ErbeLq2hCjgi7jntNN0X4i0
eUSzSUE7MHLfvhMYSoIuuAF5STfLRmejbRVMv8411hi/UtH9hPKEwGhqznuAwluzImLn/XT4TkRt
l1+or2mgKEnmnmG+Dr9MYTonfHuyZy3HXuP+Al5HpK9YBWSiXj2bt8yhUlMbxyyW6FwizO4XXl59
zii0ErUpDW7v6FCGfe3gA9NluzAr8/pNZXCY++jaSZmbLXNUqY3cBQ8ZnSeRgm7iEq7zYF517++8
H6f0SStT828kfMsfSwMk2O+HXPm3rj2s+TKwYNgV2NZnFRs/xdf0tOgCYxyRrIeZL37arZ7OgdnN
ABPUEv9RX8PM9Ll3dHyP1AxsLdUCY+X/jvUJZ1mUAnyCuwizPZeD4bul533tV/QNDsvq0pdGWg+H
rlFJHnJUzdHjtAgGD43wuk8CObEmwME2fs9/nwyBieQagu99o37q50Zfjk2TW3+LrsNSJelEHtax
sraA6JvI2/mg18GRhKCySV3q1aR2m70jMIcsVyjfZ6P2vhZN/cVLpeRupXwos+gDtjgP9zfQjXMO
6AUoJaUYuYs2QYEx0+tVi9U92w2B5Yhm3rmM2nSnqntrFDJJiu9SUoU6y+WJACm6OIU851Oe5ocq
cq0ga0tnB/1249yRK0viJ6k5nMzNKDri6jHWdS5i8ZaD95oxfTAr9p2p7567W5+J+56q0evSbSHz
Tds29jROLiZdGAXa5ly9p8ghjSZs7BYoilon/GX+p2WUUE2eTKrxzmZzuFncRkrBHRblbo1jTYKB
UTqPOx/rOtyR2BL5MJP+s4xymf/IAvAKTYx1UN2z64gkyDtvOEEPHJ6aqR0/xGutcWqMCTaoqyNX
nC07F/WNXJ+OKDk+2guSZL/NQtrKmup2rrxzjwLZAfOJ4qGNYj3QRpn64MJxrrFVOuC4emyGLn3x
jMitdo7hrQ2Lbge/g8eCRFJ+/z/WoB9q4J1q7p2J+2rN17t2+pFbU3K6f/pu7Vja4dTZaFbTgdic
vqKvo2FcTIZZhSeNNsoV07jUeHYU09upkN36rJbkyZCLuLBNN5/VQja7SlfDO8MAir7jdzF9HOkb
/zvMOfa4Rh+9a4bhZ9IU+osSr/av+zO9saC0QKn2knvIHujmbDYZbjjmpCjneeywoKqbXj/Gc2bt
tVdujiOZHlxoUkZj88zjfyssSEbKuW3a5T0yVM6BIMr69PbZ0AxHdQ0yK4AGudZ/bI9U7/nnPS86
61nThHZfDId5sN5e8wGJCH6FKIxLjY7Y5ShzUuEvOrrReUDkBEfUtcUta7aO9+dy4xV/RRQBxlGh
Hm8zC3PJ1dIabOdcpUTjK6rD/6at630QVZd86TCc3msp3tj0dCwpATA3JrfFSFcq5slx3hNazrIl
Q2nrPA24ksS2stePvrEbXE8eMKjy1M22qsojdMIk04V7Ho3efJTMwyfy2b0q7Y0JQQGlyiRbzNcn
CwMrTJQWyz3D0MXwQjT2e9EnXpjWdf71/se68e6AhAZThH4R9bNtu3IZ8ccbHNbOXZHxL4SrHrKs
XT7kjeI8In6rfTHQ9N+pPb7KQl8mwCS/iDdQFJQKrtteDaJka0rJ0znj81GdZ3zv30kQ0++60zWY
8cJBir938s/OoDn4U+Td6BF7YsKp0tYx/HbWbSQCVtCWygIwye+6af0+93VOM9myIy3oh0L9ZgDp
b3y3Gfr4UORRz7tKXaD3m96S9hF2bGF5Bd7zGQtPTJqacUhxtMor+7sxV80HN6nmb4ph5//RuUZN
Xx3j8sEykUwCBxnjbHb/S9yIvHki6a3SeicZ21InknkZotZY3HOPJ/ED5LP6aTD18qlKWuUBi1Tt
nGc9EIiyTq0daaIbu5qhidU8h3YQJJHLe6HGpEKIWnPPC2YrvnBy9zwXU//2twmYCNvMotMhVS4u
R8kdntVcMEHDKptAH+rCRxM2BnI47WUxtw6QvOKkLBGCFltuyCxQIc6rhitomNfHWMuHo9akmNmi
mLUTI95aO9hPsL2QvNU9c3NzY86juhWWPGcXfZWXUcBEnEHkvz2qZhqsmURMEPNuXiFTqassJ8lB
1nZuH9s2wzHS7d7IwyCZ5fPQh3rFipPTbj5QhyXSlMXOucYr8RhpmfVkCb2Euq1rH+9v9msUrByL
Nin7nN7AFWac65mQcJ65AfpkCaqOLQC27TmVBuPJ3OnoMUKnbM3qEV25w7ou4dzU3/6HHwHBkuBX
ivuQTlxOuCnjDhNwgm5Q8mQRIsuOKKZHB9WOigOVM+8wePYPMQ/lOz6s8mRFcf4Quajw7kSHt/Yr
UGC6CpTKOX/65Q9xTVJsZU1J8Jc2fbDGsXgcFOlSiBHk4f6kb7zORMBUYGg4Sk3K7Zy1yAPPTTBu
sF8DGqzx52QqvUeVaCA0Mbt+uj/erfMhr3nYDIRqDHo5taofkVqp2LkoOPYnDwung6eBavxfRkE1
FGYzJ35bUUVwz+mz2HLOJJ/OYzNa2lkv9XbnBrs1F3lFEmhw1mncXs4lhW6V1DS8zp2CzxTtmZQc
wtrrM916kmHCctoJZkhZNpVZJdOXOEWE/uy4QnvQ9QgnKBRBgnglNUL6fj1WZdXtMJqvdyB4HnJp
TiL9IJ6gy6mBFdbSeknss9NpGAU7bXJwyrzzOTp7l/NrkHT5+jMWN5lG0w52jLPZ7Uo/OYqLiNE5
aVDA83VM6fTTGrXO6ONZlvIS117+pc1H3LU1ZwDcXBpRh/lbpDq+HhfU5mGMlQ+xOakGDAzRiCNq
5lgyj1iXrv6qKqPFuy/2iKLXZweCNLcvYS3gDgx+LxdJwcIrAbpv4uUZ0zMtl+bdhK/k45TbWPi1
FkbPb93WDEgxg/aZLM9uiYeojTRguoR5XiQEsB+M+GlGH2lnW99IkFEfIF+EzIsIOOWiy3lhR4Xp
GUXvc+/GwMdjYWEhZqNtYi8tebGOX+5sK2gxuaVzLjBc++2l7VsFvSSmiioq9Q8QlbCjNovrRVkV
eZlhno3SVR9mYf1aOjR33r6gklglmaOInmxvoxECpTeQJZ7HwnGD2nJx9zLXZGeUW/uEWIq3muCT
zvfmzouA/ShjrNnneIqJbzrbOnFDNkFJCH4indxrGd86vOhKgelgSP7YFBcSrdc6w4ys8+r1kd/N
uThPpeK+AH3YcyOSX2FzdmlMU6KltMcX216BprCHOW6IEeguIe/ai0mEPfQv7e07n3Fkbs8FQ063
2ZIRIjjJMkb2uaQP864zgYVkSv7p/m64vmn5x6UEmCRYcaNvbtpqKSrp9mefjaZzjnU10JhATvC5
R6P20Fv4k6LRYu6EctdlEzYEORfnmfMGlePysKEm6E2qLbwzkIsVAtCoDt/WVlApmUcP50v++kWZ
EKw5mG2Cav2i6+2H+/O+9RElTYa+ElOnaXb5E2w3SluvW70zJs4m9tma92INu+/YjV0pLxVCYmJj
uq6bXUkaiX784FGLmszPrqIbL6qY46PaL2/VgmQjQtrjsGnQ97mhN21dWjFWV5pVdBaElQFETe2A
d6ay8+FurBqjsGySJ8YLttmSjV73pciS6JyRjn4oYYr5dJnKncj41ihA+0BlIgIlfb8uv02RmiuZ
BNvD9urovbF4Jbb0Wb2TtVwnm6C8AZii10xNlCfmchQNdX8zG233XDhCPJp53D1w2+ah7WXU7kYx
P0+tqp/0sTHfHA8yspRtg60FAW5rGDSt7krNMKfS1bjae0zo29RvJ6SLdi6QG2dbvifQtSSfhqz/
coYpHecSAZUmdNFBDo0kMnGozoWe+yoA4UOe5N1RRNhxH958ttiJaLGT4Lig+jbjWrldRWYc1WFR
afoxUVSAmdBWH++P8soh39zDDpkgYJDXnbLVCbPNHpmlOcrCAh0p5aGtcBYIZIk/8QtXax76cjJU
DIkN/XeruOYndTay0R+maQ0bjELtYBmrIj0kCqalPv0t3QhsVTTYiTdjnz/GxZrkhyVb1h8KFjtS
QhCRitM44O8S5LntfgEnYahHDWZJFMyu9PbtjajXTr2L4H1Am1lPjtOQ6N/WaJ1VP0rsGvUtrsPf
ClAVvGyxVlFwInRSlS+S5NMHQcfbOGRFXOdPcxa1mU+AHQ0Bjr7u56JW+8YXbTHEf6Vr4kxBicdH
efASTf2RL3A8D3THVXz/lCavn/plqtNg4JECg28nY38E2V06x0bKjgfGLAYc7Wdp8Kgj8fsjtgat
ONRuL3D5juL5x9I3zshEzVELnHmqP0c4XPYHfC/VF6tBRtUv5s54TPMVOHpqd1zZvTp6WPZq2V8d
6txFILWJKIuXejEeeZvt6cV0Kus/mVOO5rs4ijG0RpNETZ/NosuNQKnK5neiuR8dEGZuZcCmw0wN
0eZuTqVir10YiY+gomcHPamad8KyU3toYnTiAi0G1elbUVH8NspSCdfWiuYD2JEygj2WRn/d33yv
odhm80lEF+gHqe8EfvjybLkTqvlJZg/hOLbVJ/BB0Tu3Mo3P2dCppR8nSMnZazY94gc5nmyEM07G
oNjvjR4dct8q4sg3msz7rKnFnpD4zZ/GJU3UDPOel2dzSSNT0bP6+LB0pZV/WNZBD1Uxrkqg1FA3
QUAPUfe7BSewPKk5/8PvyrzHPrUYcnazU1Q/a9PW/okwsmp9A1tiJbi/eNf3u6ROyJef9A54h/z7
Pyr9xsQrVkMkxe8ZBetgoMr/3rKaei8jvn59GQdRLIjdXLak35fjqEODM21mDOEgKuepQ2T1o9bo
+okykv3t/pReEfyX+4GxEOIGfwdPiT8ux2rcpKvVDG1MJ9Fy46DZ6fjFG+Oiw+S9aIqjt3htehyT
HokAXacfPnWj9Wywd7/qbp0sfroSsx4Kt63ez9VQ235XDZHwkVtWq8PiLrDtR8ubESBxk/MaZ9Xk
A95OXwyt0Uxa86UHE1ArKzOY+WZ5kFf5/AMpMOQB6LbF7dnt1tELimJsrTe/M3QBJAbOkU1U+DeX
c7fXecjsuRhCjK+Mg17m1e8m7dOHaV2q0wRpJcC2bj7eX/FbH9eFewZsRwo4bomaht6mGeHDEC55
pZ8dq0yfwfXMpyyNlZ0u3439CqCKIio0A2Bz28KAWaXclhhChWzpNuhwH35qRn18c1RANQpUFWpq
SF7ArrtcxRWSHgR3rYX0otWHqUEbNzKzPXrtjWWTkuGkuDIiIPS9HGUwtTrNtLQNc2vUg2Jxh2Do
6+lYp8leonlzKIi0TEd6w27DgMKJC7sXVRuivxj7aq6q/qzCTBQVSn/3N8ONWiq5LOEUUZVsh257
y2hYiNSWoQ70QcOfi8w9WnNsBI0yJp/mxuo/0tTonmFspsjRRA5m8Q3I82PcVHti2dfJDa1SGJvE
PWCkIeJcrjDPrdJnnmgBWCribGWW+16BmZpQwSlgisWLaE94PsePBffFUR16ZedtuvUDIKLLYi53
3lV5Ux9riAaeJsJ20qZT1Tn2fOhyfakOEe6ufytYIPqN1nmninN1SoD974Adrs+LLA/JPgohIB2m
zQOkNPa81nDDQrcxC78qh/U4KUZ5uv/Nb4wiO50ouxhwxUCGXa5zNmdK1+rAt3Vv0ABuWO1jZav9
m0+lxPXSgqTbxMW+BU54rjfqeNfrYa0OytGm7h2o3u4NemMuoNVoAwDhpue57RfDv8ixq7KNMDP7
WiJRhyPviLITMd8cRcrcckDgW2w7KHQhKXwnuRniMN8/rak2fcqI7Pae3VvDSJEaWjQcfazaLj9M
0WP11HoRqgxV3r20I2qb65w5O9XaW6PQxGeH8/ENIonLURwM8/IhVoxwKRT6TVZRvQzoeX6+v8le
367Ld92TeTtgEtlev4LUFsJDiVikZojjbjYcTXVSPupW4h1Sp8dJyO68D8tcDgd3KlH/W8bmH1OZ
vNovRVof47woT8NQakcja0YyimE5pHmGrHtVVUfCSyUwR5yACuwuT1MbNUcqcdM7fRKT30hQkKaK
5KHsy/hQgoLeuTSv72c63uTwKCQSJuJ/eLmCo2MQpTu5HtJNWGCwOl7QpW7nT9SLDveX8cZQUjpO
Bgg82XS7Loca6nTkGtLgPU2e+8PL7ChouMa/6nGq7Awl/6nNB3slElG/pxx4RQtcZ0r2M7kPuy+p
joS82ksDa+1LLuaEyrkV/668ctq5JW7ND0QEaT3XHQwMeSX/EdFGxeQsdeoyaLMUj+sorHcWRLbS
X0ZN3albvHZuL2ZI9xPAmqT5vGoDbXa+0ehKWbT2FJZJY/9ToXWwPg15pHfBNHRVdLSUPAYpXVWd
CCJ74i7JsYM6pmI108M4rWsIQsz4ofeanYWdh6CH165a7gNKbyff0LsEK1lniH4jii20A7GfCL08
V1S/sepOHCe1IPlrKh1aGLafTuUP+qB7QdoLoz+UbR+nQTV1+D8p1mjop7Gdlk/399PV4Se7oS4E
SoBNJUUdL9e7VymVO7kyh4YTpR+AhKwEtrvl+KuvCjEB/jGMWrQqJcTrcpRIUbOugogQWsLUTmh8
xe8ErIVTbZu7ZDzZXNp8VMp2FETB1XBFb+t3iaP2nqeYaWhWKkogqt4dMEVOsRMydRyrhmb6oLbT
+JSVmXFUrKHyE0RwghrZhJ3X+5pkw+sNdpx2sJQYu+pLJ+naVlLRIxSq030ks9c13wH6G5aOlmd+
orhx9VBXWH23rjZ/dWs0W3x1bdS/52Wl8FH2NF93Uowbn4JC+GtrXhKNtilGn+AOkLhOHrbaEh+L
ftRPxVxlx5z6xlujfaYPAoSsUV789AMvv3o6LoNTFS5DjevoZxiGB5lppDvX1I0dDJQBJj0rLVNh
+fd/3BgQ3ByCMStHI6FwfG0o8qBzyvV4/5xcx8XUx149K9nKJu5Umy0MqIWEVSxZyJucpUd9NIZ3
fddn1KFcPrEfecXqBMDY4u/etFpZkMeu8mvJl+YzxIFlzxn51qzBw9FeBd5uIA68mXU58aIrSh4u
AvhGM/Xlw9yLvfbCrVHkh5NYIqLgrXy5Wpad4kZNHkarGI+k19OTmOph5x6WS7c5sWQbKIqDgfNk
tXMzFw/5jFmPRAioPj14pPJHgPvdE/IsVVBZ9VttEYBFwFYG6A2kjvB+WzVeUkNtVxtVDTVZtKcI
7YljO6/Ve1PRm7cGinIoHmpaCZLJvi3QTKsyuNOqwunTndrHgqY+F8hW7FzitzYnrFiJ+JQCtlx6
lyuoTzPZDyp7IerXHpyvziy/xrm9FAdn8eJ/dK8uHkykCv5xtMURfo84d+cP3ty0gTnlWrpzx1xF
DhT02Jg0f8GE8KptHvG67u1CoHMf9qBvjiOcPDdYcvyAhOaVqT8wJqgHw9xLXm+Nywsj5RLA10JI
u1wG1+0BRXsY/qld4zy5RpwflGnAfxO7Y6rO2iqeNYU05HD/bjDkfDYbGGK/NE0li5INuctxozXv
hD4UVRjrrcrz74ygsotI0z6zq5PSz9yu/zBS0FS+xSIpfiEX0RT+lJj2L6UUVYEvUVWFWmWvMH7w
tOgDI0+KH8wi/7EWw/AxH9bmIdKxdQ96Os5gGBCwdBC7SrXvoPvTv9tORxyC7l5xUGo1Lx8RYYQ+
hA/TWh5rfcZFAlT6tB6Ir/JfXelSThM4kOiHUSjW17GqIpWfCVHGd5fFfQFfFD2pzaTtGf/euFFI
Zuk2gEclQdsWmwotXvR2mio0CqwocKipHmvH3NuA1x9E2mgD3wECKVX8NhuhGGca83qVhWkOxymF
C/QVmEj6uatLU5z6WS0SXxH5+k9emrYPKVN8u78lZGZ2uSPotoG6gYFEWq1uw1jkCFqtUtwMdZeY
l163RZz4XjpV/7hW0Z9LJAzPSdcvsb/ayt6lc30MuG2I5zTYT8DvttxyzaihOa1FJjUtCn9OskdT
77TTChvTT8aF3YP+3E4KdP1d2faMRWUQERigr5dHoNAEj67F84gztf3ByGpYTmUSJX/dX9dXObLN
wpJCMgaIOQoyW2BHbdtrM+RJG4o+9Y5u1noV8oXj8E9kOpE4tLPbybhdRcXaHeV5UrsFA4KkmpSf
ou7ATSj1EhH4oCMY+yN6pL/cxEuGEw9FNUCOtZEWGHkg/h5N4FE7N8V18IXuH4RrwCJABJDquFyl
yCOj1Rt6HSn74hR53T9eanwiJtJP99fp5kBELC4njY7ltjhp9DNFD6+lpgsRf/Ar1WkOyFpGYdm4
7lvrB0QhfA3UEthwBDib59tqGjMpEdgIEzTUw6lI1CctVbGnuT8l+c9cfnm4/8T0dP9B/hFZXq7d
1KaRZ3ReGSaZMsBThyLnR8qcHZsSgCU2CcYePv/GIsqmD8AWSBjA9Da3SJsVQ9POVhnmGfImo2eN
NB9m/bha6rwzuevjw+T+GGqDmJvW0WqWGi65aon2sJqQDpfh7bqTgA3/HEW/XMIl6SvNSJwyLElC
A3V1h4Oj7God3lw2Lj5pqMb+21ZDTDWbbHdh2cqs/1qicxWIXDOpu0Trw/0tcXPVqMCjrgzeEMbL
5XxA0BLjmYyE8ap4cpSyPcKVdHcO7fVdzqr9Mcrm26CXXwzUzMvQGRz1lHm1faobER8EVYWPuY5/
PXCS7gkS0ZvhG0RREtcAJNyinPkad/yR2mAkMdTl6NWh43XWsdAK+6Avyff7i3jjc/Gl0KIlApf5
+WZ6SdnmBiUlpjd6arAUbfbYLXmJn7OeHe8PdeN7IVFEdIaCJDJIW4OW0mqVuQGkEU563P0sCPTD
yaX28PZRHL44xWz2BFSEy10xcc1HbcwoSzXwCgHdkLFV7Xx5+zBcRBxaKcwHiO1yGKeEAJhEMUhK
rCv8yXKmAwKHxdP9UW58HUDcFLPR0pZeS5stXlqJ27gmHUE8WJJv2uitRzysl8+ISb89kUbCiOBZ
ctApCW3TdUNYSmcpJBF15OoPQ49DVYTQx85punGNI3zHjMhPAYlu6w8N4VACq74Jp7qy/hrcoTkt
qe48z3mRfXbKod/hIdzYc+SURCTSCwKM2ubOG1sMURbPbsIxHsxnu9SXwMFVbSeFvTkK++2//Q1k
cC43Q1IpWV/oSxMqht6ckg5UpqtOw87aXQd2NObYc3J34xC/5b5iRo9OwEzw43Zl+jGfVvrZybAE
WeH0Lx3L+jDiT7Wnt3VdUJM8W1BkXKWSSC+36B+30GJhiWuvHuAn9s7Z1qdM+FHZxAdtsMaX2I7j
Jw0I+zttVMVDTPPnnTOJ7ksmoj24w629I1VqQebD7OcaufwlzhIhyddFTdhFGnyu2kweRDakP8rB
bE+ALHB5v3/6blTw+JZAUxiTeJ5i8eWI8Nxk1DvXoVo0oaP01lF3lvSwzNhE5woYAx9ZN+UlGVwP
Xz5j9o2pyR5Ud9aHYC73vClf48M/YiBKT4hn4PYjJdDpo2+rPrYmFH1uYysU6OXiaG9Gna/XAJ06
xYyfxVr0gYO62Ocsns3P9mSUh1wg5pek7vwFnJmNY6CnvC38e/1NPL90puW+pDJ2uUSZbk18/tEK
NZUcJ0+henX6oJzuf4nNPfg6CsJq6AMDFgaSsxmlKfXMbnFtCwvKilKrwT0VSCMeot7Qdq7cV4rn
ZpXphHIPggClQ7MFypeZqvUr/rohjPbkZRoqnTSNwLcNEmGmX9Ie5xofaUb352h04L2F2RoZQjuj
iIN5WNPT5PZJGijK7E5+65TiV12pVeKPJUrc/txP7pdl1JEhraLeSw5UbrqzYrXFv4uuqF/iVrOK
AB9N8Or5UllxAPR2cU6dU5dq0PPqTYFodO/JdWZ03iYDp2EIcG60+lCBMRomAKPO3Awl3bKqM7Q8
oNtS/yhXt8WHIprX81Ss1XTI81ULrTFpP+rm0P0fZ+fVG7exhuFfRIDDzltyVytp1WzJluybgeuw
9zLkrz8PdRWtBS98gCAIksCzw2lfeYu3HwabblkKGuRccnjKCaAOzHVPZQ9DXwCv0BDe7pGyDDJn
KZEhcypdA5osi/C2KyyVReQO837yK3XlNUsb64XTtQlB1RdrEZ7DFr37O0AW0YHeHC3ZrW9/BwVO
hcBFKI5VZwEua5wUH4pZ1I1xgQgzZxY0YThGJlQxlPfXFdHANXHQpvVrV5y5V0+ejNdvAq6BuiCv
OiCDkx2NPkFSp8AejskyOw+5nbQPI7INZ3oQ749CygR6CwbBaT8cZMYwZIZJ110HzYVvQf/UZp2d
CcRP78nXybCsbD7+hm3LyRtRAR6d7NKyjsa86PQQZrNwD9Ns9z/AknTPQdCLTwubpIvk0iXfoDl2
ICqXOX3m/qweyYvb7MzdTZeF1Tw5x5uu9qbpQR+GpvPb1U7QJAzAmK7Hfpr6rwaL8BPScvY4A3gI
qXbJHtHhUOq9h1BkGRV1oMqoNNyqOsiqLKfI9FSq9jLxm5VaW29PF7lBE5uaQgL+tFCUG/FPn4w6
MtvVpMFnOFJHntOuXBW2r/2D6AoctkxX51fu4q+f17FErHayhuLSz/X8wRsT4IRdjl517MLzuG9K
s83j1DIhtufs1TH2Uz3n8ZyEabLv5kzeAa3CN6Wz+/4en/P1q9dpJS4mJ0vB6/QtCmSQmAw4/+s6
ZrtlVC3atXVrPOJsCbI2Lxx6XrPdBr+kS81m33UKNE3fi+BHHc5IQ5WytD50TNvZ2yh41BGACpnh
xxA2867bOm87VjJ7xq7BfSm14qIya69CkVk38wKHysleMD4fN5SePxhk6UF/W5og+/az4VHzatxw
fDLoqloRucdwUYKzaGJ8Syt7n44dWjupLMtHe/aTeVeKjg/cDk43xja3YhfBBZjqXY0IDwc2Hahl
ubil3YRFKO56S8tvoq5/zb1lfUqSlAbrXCfJnWnP/cW6mO1FqWkzRCkeOI9O5ld3bd5NT5Ie93OL
ppx9QNZUXI1j2bE7PJledl4//sa/x64vPHcdnCgMCxq7eTh090qN+DZUmY0qdREE5E6OkffiOtBZ
fVWMrpUdqjKh2jjP7aJxirSmH8HidF2s27V9Nqc1vEz8vvvpqVVbeLU2K3jWoeq+ucHSsBvlWD0W
3TRcScvufyZdlg+xFxYBEEV3NX9UqzBuu0YVVlzrbrkd6CF+GbB5O9Ab5Yaj9F67uw0znsSJ2dbf
6aJTWzDS1j9ST56HA+hf86GwDSQOSzccvph1m31v1bLeZ2OzfptRDvi4YGSyRn3mgGhe+cCRuyQV
CpxlOu3T1KuuGicXT22KwSIyIdL7FHAO1mjozaFgO1ju0VqWOYjneSpuS+XVj+FgO3mclO2URa3j
Nk086LW5n/PMzKJ+dPzHAnrTuDfwozMIpWvlXA6Fm3wORTU/taUpv6HQFjyWM8Saiyn083WXBZbx
PAyjuURV09VzbBmTXcdsZGv+sNDb+Vi6nq/iWqZ5E69MKT8EvT3qW5UAVtxV9TzelnnnPK+1BbxX
95VDQANm5Zf2FEiUBrZVf6nyTpSPhVOK4Xa2aus7ZgLTkwsuLd0JjNDbyBfKVJEok6R7mAbHfETb
ediALUb40tM+c2PadYGIrUl3ODuk85rEi1+H1V1e9qLhGZ+LKnIzvbS3S+IMD0lW8vvGqeSW0vng
c6NUtXG7FGaF3jmqAwQbc1p60eA2MEp4XrsYatC8N90sXJFDLNYW/am1+4RADjXBLncfF8/wfiAl
nJs8+bb/lE+q/pm3Dvsg1SNuGaJoRtrVM4XW66FO05/5JGf1UfWNeDJ14KR7V8GnwrccsYdr0WuP
GHxoy1uUiVoizS4zp2gZgjyJaTEOKZbEav1ugVleIq4+6xtYxlV9SF1R5ns51UMYLYbTg9dKy+JG
C/CED5uGsHkQZQ9yv+t7P42aTOW/AWSEMkpKVyf7vM6CXzz2c8uunJbLfiS5jE2vWmWsuMh+C3xF
9YU/jQbgIahS9Q8tXeSJXTl/yYWRpbsxc9s6wh9dkNhYsvk2QDIHngrvbwcjP/yV9zmNkNJOyzqW
jZ7nSA5u70Zhm8BmGNDpLiN/6UPsE5sqmaJG17wDdmogCWSjHnDp+O3QRWxK9mM5YtBpu10zgF6v
gpdk7XVswfLAtNlUxnURVNMLtF3/U2/O62fQKEZwt1ih8cU0izy70Noakgsb3NMQG1kbrlFldeMK
Iqflolc6l8/r6oSgj8aSm3nALz2PF/i4nyRlhq9ZO6y3hVp5U/o544HA0lyRQupBNk/espTFZZvM
orqtUmAoOyvL9d3YaaggY21kL3Bc5OcUPPrRUW4P60Whjx+BKhZfrLQMr5vO4BkyujX9iOOLofYp
wJ2jmFvTBp4+aGeH4h7CzfHUVk2KCWvSzJcG3OTulvONNc0kEu3e5P24hBH03Qz/JcQ1wig1quDL
WkyBjmtnbQmbVxlcVmmgPgyV3WGmhnZ/vfdycCyQ/hs1saKll8SDoTwraiDtcIJVVwU7kAQVOzsv
vfAQjNnm5JDyPGGXXfXpXSASQDAqrMZsPzAni4XEWjUOlmz9qFyIEsT0vZPFSWZaCKCnw3JTJJg0
xjmw2Wy36fvgl56J7PdoEc9GmVGlcMjaVRC4B4MXcjZl87z6edcellka1QUYU176ssPrIcaOZL0M
JS3du4omUxHVQSbsRwfX0JZoo2jTq7BpzcuSqvRFG3hJsuPfSqRbB1r1h177rQnqqJ9+1qLNbtUw
yjxyFbyVeCQkHshTFft1yue8j0XtIl6HjZ87x0bnWM+do9uQ2l+z3jqAbCseo3D1Doib1ndlP3X1
x6SnHIWUsIUwvpCdQV7DMvWRXCdQUTQD8vsknLFJ8SfbINGZ0q9torJ7mMDY2JtoxODLUCZeEU+J
0z1C9ejMHc2WJORXitWgUDyJAB6MNV0i7u20MS1t+zdM1cHZjz52DQddL00QKd+pL3sXz2VuhcW7
qcRYPYeUznFwqJyV86Z87zbMnYw/uSEv3nVBm3y3Dc/57fgG3R5uNMP8OLFUmu+RGsveJhIj2Fqx
4oqbJZcqklxMYVRP21esZR3aMeSd6VeVltNv6TpdHzVbaz4CGjjT6fUCvUvNrv+ggwzyOeXv4mvj
GErvyzTzIXbXoV4uS1z3Pi/kihqkmXSTr9Lrq/nWX2joRjosOG0I5TTUUEgGIxXkztMqU4mYxOyb
SYQAdtPtnRCfxB0trOTDnIf59wXYDzyIZLqpAVd+yxXMLQRFuy4a1jT7KFe3SeIqnW36JlKPdSSn
xn1JHGx2d9IdDCsyikHcjOmousjoUVXb9UO6Sf/ny3hFdaSbkDVLa/tiTTbJw5aQpY+caspBFJhC
uTsPy7DPRR/mw9VSVcsPYqM820+4+l1XmcK+NNsQGTgLDdk9+grjEOmmsPMIdu4sIDDVy68VuYI0
Mmjr1rt0XAoCNToNQ1T1nnrEGzLJkBRSxmH0tB3sKSW6R7fqeVKRntJNrLNBXxVmh3mI6eX4eoxt
0u0nzIuqGKJRV+9MKee7XIVLvudPmz/P0EjbD2FWEtjVA9JP8ZxhsBo5Q4m0bFBrSfBWTBsO0HBr
AOiB/JI4oZVGMNRQeJSpcj70YzjdKN2kfQRHj6IMT2rvREktcprwU5n9go5fdruss8R1MgJY2snC
lhyXZSBgMIwGgUjYwtNXcCuDQzpvVg+WM/Hnz4hcIaNT5Ry0KrXm9NEuaWnGWGvMRgQkpEPeROm5
vGyKIMGjLUyDr56dun6EWvqCvsO8pN+EZ9Q9QIA2xADEwQUpcjoU6WPfnsr+6JbO9JDrhXw85ymh
vqK68LFo17W7KEj7uj06ftXPStPw3tlzGtZXyB11z4vAsX5XJBgLfV+GtXYOdp/wiKo2KHA2TpAe
i0IdlHNUGR6WUuhQ0IKuNOl5xJPrWly/ffWrtKvxA1pIi9wXSZM8ucQ/zaEsJkM/DiIPv1VDqH7h
ipp/EW7JiVv0gsq9Uv6nJJvlD6+bwkMWwhbaJ0lAtl5qFuRWT/mCW1WCMvSubz0HBdIk5Z4D6STN
WOf9CqWo4iPvVnua3b2CnwUagWpfu28QglC7qVi85n60KGXG5IPTLVXPTSFy9JZPDi5YzZVELXy+
Wedpup9mf4P4tDZH2OOle3CD3p8jvRhCATboEvnLCXJmnpmrvlNG3g5kdQjiRXaGDAmWBW7yiRuc
njWnAQ+cSRT2EHlaeD9HKcoDUb+cd2pZjM/+bAfZDdIsWCwUbT/eW3LmGjQoW320kt4PDz1o8uSy
cWrrEz5wzp3dhW7/ywfLZe1yo0d4rsrS6lNl9OyuBFqgvZ8TmUlCJNn8Mqqa0ubc1ZCgalDI/CTA
ut7eQPKou0LuwKt3iMwl9kPhl94XePvLFDdEwzIi/Qmel4LPHimKmZ/9uvef3ExlZhRWwfKcqGAV
cZLTWJhDnVNsMVZifqOVXYlAh9l+A0Nj3jSBOaS7dRHmN7+v2h/NnHdII1uLe+d2HgTT0Fo2ejbx
nIxb36u+B6QOd2B8CBKh7Uwq8qpWqssVwsZlP1hBH2MnPvzWm+MZxjGlzK6MQdpqb2NZYe5cpDgG
CKPVYO//Xro86R9utRGQX1AIASdumIytqv2f+rmBk4Ecu8Y+rvx/11UzNVv9fKEcM5drrvehU7Qu
0doQpmycdDknofdH6ZQGIsVd1CIpZQs6CG/HpwCDgl4NWNnzuibOEBiOS2UOP+e1Kf5RPGKbKzUg
8IKviGJEMd6OpfqywiKuNo9m59ofUUlwUVdxvUvO1Dl1ypNmwDYUYufMCpAvvo1/oAa3qkwBuPk4
NPZDZ+nqhtpFuge8Kb6OYXWmyv3uaFAgtx69S53wpHLoAL3uG+WKo2ys+0JvJlQLddKG2suha5bn
v28Z8edwKAIBhzSpQtP4O3X+GdrBa/WQ6iNWula+c8dSGRe6nfIL+NJmtjMGpWhDG31BMOF7Yxcb
3LnPSeHYL4Iwdo5G6RXmbRckChReu84vuKWvIkoqJc8RBf7cYABAtj222f0CFj35NmWwaKzIppVF
hx2/kLTFWmpK0JNh/VufjUVHKJ0yP+U8gAX0G072V2DYydaQOiLoJ/ba0PXODUb74e+f/6TP9joK
3g8eu5gp4ZzxdpRE+lm9GN1y9GCcXi8A5e4np64j17C6JwyYxG7o53Payn9WatFlx7oFSgLwJvAG
bweFQiD6smmWY7+YIpZiGuOQssfu71N7bxRgcRRFXbp5cLHejhLIKlgpNS/HyQ9qQsjQuSyT9d8g
Ba/fzzbR+NluPSAYJ1MZN6U2J+2XI4+BeUShIdlPkCaeMZgYL/4+n3f2Hq05DMM3ZRCUDk+Gahez
z0qyrCNKocmlW6/zU+DhrzPadAfPVJTfG2sTFWIP0u9H1uztt1vH1k8RFVqPAxnnDgdASlzNWu0Z
KjszrXfOP6wdLjg4RXCgT526Ze2LUXl4HLWUCaxhoN6LybM0hKQ65Igzm+K9/Q4GBAA2J4uFO5lY
x9Nb+RUKV7yYC9ZEGuFGMLryrjEzquNrXyC5oKczu+S9rfjfUU/eCjPIfFLtEnczNKKeKqt9CnvV
fv/3/UFvhU24mcX90f6n5yUHQniBh8kyX1puWx5kb8ivi17H338f6t35bCJNqJGCKz81WVj61K6o
qIijZYiJMNl1Yymn9cwN+N7OAJ8Bytj0wBufrhV47rxafJw7u8ks9+vgqquMyncab4YZU9RaCyrz
/zgxus70XAG5wN+kK3qyUFYuiU0UPjAiLftDMVCuDLtWnLl0//h82yjwfYHmg9aA8Pv2dPWOTgBR
h3RdizK5EOXUxgTw+b/hVF/7yNsScY4JHuB/vR0Ff52qzrdR5gRrnUQ0XVR22fj/jOIEAAd4GQF8
bgfuPyFfoILBb2rXOfZCt/uiaEysX7z66p/XBYVnwG8w6oFDnMq2uMTxub0K/5iC6t55eV7GUxEW
Z+ZySi7YPhlwYtBHgDtNYAcnb65TBjqkaeQfp8q1PtpdiaNms4YE5059cAN05JMVtkY1O9Y+LNLg
0GKNc1gyYOn/OF8uXnD9IGjpJNM3Pfkhc5l1Q4/e5FF4mJa3w/TZ8nt55i78Yxtug2yhMo//K3nh
7dLlsqxbhb/hsUWwP6YcakSJjzv636fy3lMC+olYmcDJ4TS/HWWp6oI2iBBHozXJoGks7Ig61d5L
3frMU/Le5Y5vFhcT3sI8xydDWQ7lU+Aq3IDCovYJuvrKlPZyncOEu2emAZXdctHTmUtjezPeNF+Z
HR3/re/KPxHEvp2hVXP19zPmrkEuPJTQuvlAdTQkxeoKOUbunBafK2utrLgSpEhnRn9n0kB2CXRC
GzX3PxzdsQRMUgmd8yhU1n9VCD07F5Ye1YUJiiKNu640i7hxvPbMuK/xxsm0cQfgyHDJWFCzTvZo
0wm8F0Q/HXHVLJ7SLkFDL21kmu61sFvzUI19+6VEskSTiSU5NIRwrD84boWKkrFsbNfMU1DykrAq
LxEYdOnc206DII8bLi/orSDhNQViSHa94/SPBXDUr1lqed8RSqCXtlRLnUVdNil529YJAlUqoL24
c0azQL6nXZbPltEW12NGmWO3wmFdYruUzndTze58CzaiUZGNwdoS2ZPZPVPCNdJdYU7zF2D0JKjU
hy1n16mFstiqEjTmZA4uNTa7Zbgpa71ocMV+8gVtI0pDbpAglFxNNlp4TkspsSA/1Tt6WuqLL4qh
uJAY36APiUP9p2SqRyrcTNeLpnlGstF2+q/95CSXQbkRZhBIq1D60tLfrTTBbws2jnFEeMPKb9vJ
CH9oQ9q3DSIxftxLY/qEUEXnXaQrUTQ0Nre5JiDGDWxBDTfFT6BxXsI2pRZkjbl4tq2yHK4smnQy
nivRfCjzoMwiExeV73lv++VB1A5FrMDEkiRqGjF/4qUKPmKJMmS3wVI1gnJ6Od/PS96I/WhAc9/T
IbftaKBFeM6I4p17ipjGJSNFgQTHoJPANx0K2qQ2ROmMLXGR9nP3NC89W+DvF9V7B4lvGW5+Alwi
p7irQBnImnE/HBs9UZ6DBHBAJKp4KOupuzUrHzADiutnYpz30l/2sw+LDMAX6OuTy8MuBN3VZNLH
An7u1TKHxUWDR+IPe7aafT/2eQy5xtwHnb3c0u0MLlBBVJehXbkfqr6cEdRqUAkITNGgbL3WO8eb
jJ9//zCvupsnJ53bBWw2ZBs6gaeaSL6pmsLJW30EndV8MY3FulsWpb4b1tDF65T+yGxtxJKmx5Gt
p/Z6dsa7sJTh1Yj9EG2ewKPHZlaxUrV1+PuPeydIhGJCxYmAnqDqVNGjT30e7ZQEFvCIuM/nxvqo
TGuTQjCHl8QOm5d/Hm+DMuHTQ8CDXsnJrTdrkGtGYxHKNwWmo1YV2uA2ZnlDB32qwZ8pdQbk/c4D
SjGNwB6xqE1Q4mREbhS3J1kWR0cOP/M8qICvFe2u9Kvsnys/FhsRhPxG5ULe4WQvmlbZs8zCOVqj
CKAJ5aRgtdbX5VoPkQ9K5sx4f4I8CbIp/GzVLTJawGpvX053VCS1tA+OrgXMoUHv5VvTmFR+Dao+
kdMb4qIRyvFpA2X+DbZ0xbXZ2NX3pNXdM6C5ms6EcZZWv0H0TrY7eEgIbejdUvE9Jc3OJpARd/Kd
I0UdPnYy5HsPO6jfYdbrL7bfiM8atCQd6aq8x/lqQJi/d4GL1HZ1Fcx2d9fKNcv/PYxi9YEWbraR
QBNOPlU9tR0mbYl7zCdS1q6ijO6LVEe0kM8RwN/ZcJvOL/JLMMHwOt/u4/+E9MzcHnnjnGMr7R+m
W3iXY+g+O73uz0T175xddCa3MhdTw+b4ZE6hVkGWo0B6XNPVesmapbq1rHyfgq7dr4WQZ47uO/N6
xeNvpbstATuZV4NStz3BoDsGmrpdUtJ9QyZlpZNp9mcyifeGYvewgzb4JRo9bz+hkk4JwbSaj+NC
z73stUvPakr2vZDn6ifbr367W22iXVIFmyrxhv1/O1Q6bt9N4fGBxKN77GhH7NJ27M5cs38+jqyS
SSZJmQuq6al5uJ7cDCWqdDkCzwgfTOokTwqW7WeItM6XxDS9pyaYaLf+/bJ9d1S4g962Q4jst5P6
n50o1iqxlenPxwJBf4zmVrP/PKI5/NXtqvJr5jfV5bpkMJD/Puw7nxSNV8jcnLZXW4e3w2Ifnrj9
PI2UpPtgL4YGkZuyO4dX/XP3A8/lzd/kBjbmvHUySjDjuSUH1P8gjO9bGuC0VGkVP3GbOB9nKc8p
hf+5KW1UXblDqLOxmqca1GoSCw+Jno4+CKpDPejwEqZIfxHqsv7yz18QnS04Xcjp8Jyc3lahO7qO
0VnDsV9L8+BiQRPP2nMu/z7KO1+QIgrDAMN9deN++wV1DVKyq/L1uCa9+Og6OrworCk9ZA4GtOva
AFX/9wE35aONkUGZ4JTtv9QwUrI6WI4YIyddROnDPEinkztjKbyrJgER8fcB39mJ2CRTJ6fMtv11
cgDQixJGitjssSln9SSyabme0iY4cw+/AxbfBJ0YBaYFx+2UR6Zrd6QBbC80mGZ48mRFH8wRLlmY
VCJWenUOVppYF5sh7rWyYH71pvxHC9LtVtnA4ZQ86KVhFX7yGExoQXqFodfjxHVwtfi+uVtKxKgT
oOv//lXJF0JM7YQDhvv0drZDJfwZVOpRDrXxsZqmRwLT7sxr8+oKdnIxw2DZlMC4RCATnURT4Zwq
UjVvOap+qg+L2aSPBeCJ6z4I8ge3A7S3atQB/EAboJ2lu9N1YyGrUoyXmu7zFCVodV43IGvRxLXD
F6vJ58vZNrsPsqGTv2QFyiube3VRW+oMleydyAxxDQiFxLoIJUNvfXu0yiZd0fLNZ6gumu49LvRz
HQMazn7CIIdlDocINEadSXO+nzowaAdoYeK36JQKrij5yP7YzBnQESuYvenx76finXPvYp0niIpJ
bJCLe/vjJg//j2x1FsiwHupUXtoe7AnQU+ojk5hJ3zoTgb+TAG0Nl03Mj83JkCcDoioMN9EulmPZ
gk/DKAEVJZDsdN79RjcfrKwHcN3lYfuwBKmvoCLN9cGW+Vzf9IkU3w2QJr/owAOnXPQcvgz+TCng
3z8K0RRMeC5E9E1PrgqgVA5vVrig25uGkTWpNBJ6eVrGvNtbiajjfx5u62gEGBFRfULC7O0aYDVk
egnIp6O1Oi1S9Yhpt0qmt3aYmR9FZc1nxnvn8aKKiBYCKuiblNn23/8TCqi5G4FHZctRaF3Glq+X
XaXSOgaleM56552hNtohFEpaDwS7J1PzM8PRfbI4R8wRGwJRvwUw3U1XRjUnZ2b1zv1OS5+LHWIT
nNdTmuNsSqvppOUcgzb/1q9IJdB5Da3vf1+rd0d55T1T4Uah6mT7wuHyZOKQZonGGi9tShm3Q9fZ
T38f5c/Pxh8dbI3kDQPrvB6i/6wQlIAyAwZrH3EByoGrKDhYG1bZlkVwpmry54RwCwJrAtnlVYjw
ZEJmM7gjFmjWsapTWAw0YdEj79oztKWQLfX2AqcduR38TchiI+O93XLeYk7OqAMBu795DpLkFkbt
HV41PbVBBL6KxW+iwTpHUn9nbkQWFAd57bf48yR1cKvV0AX6zMeqkPWu0/2ymyfP3P19sbbffjI3
D8Vsku+NqMYr+HZuDmistBK0rKV2MmoJzXXq2TPqWlZBRUfssyD4194afS7uToAlPIlc3KeAmTkj
aLDyPLxq0nC+peo77krkBM+cqNNF20YJqV8AKgE3wcK9nZgCop4JC/vHUucreEsv675ZEBPvK8vq
qS0bq3dfW1l15QC/pGg5nONU/vF08gvY/v5WP0CqwTpdQCy4naoyCnnl1142gs2y4aWqpXSuEGAH
+dorfQjgTd0O41w9Cbw3c0qowvsM1neGODL69x18nzMLTlx8suSvv4voblNx9ai4nMQjtWekKE4K
eSWb0Xh04XsN0UTOJ6NMrKMd+yipdNd+6SDAVOCZB6+jz7FMD8axhTJWCSieRa8whQT66yS7YXBS
dK702OS88oM7xMqwSm9XoV/yLQ+T8NHIZh0eVpR4r0Xh0uUcwYc3UZbQGYCbFBq3yYZ+iV3glm0E
u8OEmzF63wpXeAXy5GngQVN0RnlJPGFeQUxxwgtT+ZkFJxXgwqW0feNW90oCr/UJn0DTLvUnXARC
KxqzVQICNhNILhOqVDtTGyIB3JitRZzLwN8JO+vrnW2ELrw0c2nEVZm5xWXa2snHrh3Fh8Zpxjur
8OAGaScP4r5u8l+NoGJF1X7FaCEtEP/Zy8YonF0R9rVLzapzIVikYwiuoEnzx8aRQBvXdqjDqLRS
bkeYM+NW4x3max8F4hwHEYGgPiQQ33zyyiydboI1tdPY6p35U5K2bh6XjWMh966a9IvRp2Ma+YUl
vgVuX93aCqYLEH8La7UpKDtBrtp6GuL8sv5yVWHfVkneIBuDG8rvFuIAmPHanW5baxVFXHtNdewL
o8qB2WKfEg/ZgDEXLmNBHFZL9gJ0svm0uov82sgxgbqnjOLCgnAhL4qGfCSWvV0lODyowI7yAOJb
4ygxIlkNFGGHlvPyxV9t9yduUQvXpZy0E3vFDDo59S19EU6VnCIIFnAFaKYUH4oE8GM+2OFDn+OH
vteuZXyvTRlOETwXGyLIlBSf+gGyd2SPw9LHulaijwIgcflOQH6674Ym+6mBQ7w44QhXz5Zz5+5q
bWLTPYTGKC+G1UFAMRiHdorFaK5fkb9BPBN8d/ddQI1EirdJ9acSIBgaZ1sHbCe1v35dkKXLorDo
i5IIi9AZt7SQSmWbTNZ8QcJpFxQpDPVArLjS5xQYUO67uiySeLTz+nYM8vpJO9qF6yiXFZKENNIp
NpKq/6ZGDfmvz6fioV26FdZmJ5Kfbj0Kdw863Jax3c3dzwL5FLHzZ8f+Bc681gchjOqY4H5X7dOw
737lZal+9yrfHAAwDa4jkRniOXNk/dVtwvKx4nVO4r4qrDtdVvMLTLHhaZho/sBezPKNrgcGiZsh
zxoCfFdDfOs4E5wcXXZRWs/z4+AE1k0GgKKL3KWHz9osvrHufVZiioNSZfaF6FtjjWxdA7w0YAl8
dtK0+D3njh73QLvNuzYslyruA6d+UbKt2ogCWdBdYScdfA9aP7hznEI+0gWEdEPZy4b3qfXY72y7
zcdYNXrOcK9uc0XLA5jXDWaJmE4okMh3pjlrY2c2oXWPQwvXXJp0/hdfGsu0Lw2R34+dkOu+nuwp
x8MqafSO1YRib4SVdyvpEX1ZJ/vHDIK84ZNV0Zq7m4od++obNSedxYtVqT7qUfh/SM1SfSI9n4CY
m7VlRDgb1OrCAD5f3bitSh9gHCgYB6Ms2wiwMlXrFhnWl64wrV/TFGbdvpO1elzSjesz2OWo4DYt
6hlyAvnMUidAoRLHMJxoHEO2SymC7N5IDMQMU29Qn9wmdRvopakD8Lfo1LNykv5B5GyaXZWGWCCW
4Vi8jDINrwYu4GE/lVxqkfCgXdae9iGiGGlTR4VbtJ/+HmecpmqcAaJo6gpbrkDh9eTR6aB5lVj0
QhMN1pslLLzPvZfUF4ltjVeVSPwzFaHTsOZ1OGzNN4XUTTvh5PXX42zZSsJKFSB+7/F9ljdF58in
nAx9h+yrA709tc+VLk5DttdR4QKHG+sfqM1JbpKJZSYjt8W1v4rhuoXidTFC9D2T4L03Cto4xE5b
jYZW6NvIBnPeujeNQlwbjYRenFXsB5EXZ0Lr0yh+mwvwJ29LsJHzfaW//yeKzwonQMFBs2DAm49J
aK0x9yn4yQHMy7/uDQ4zqrkgQ0irMUB5O6EkQZBxU/+48jp3OcxGMn4d0rL60VKQv+uSPPv99/H+
3By0COkVEgjB9qSb9na8uXRGqM0COQk4pd9Lf+gPUBDqWxfKjB0tQ4c44wyi+Ewa8ee6ATXcUMNb
yQkDT+vtsKE1r0hjDuGVm3E72Eamvyb5kp7J8f5cN0YBPcndTKbCKr4dpZSwq7SZIWWJyxTECz+M
kgmupJll51L/dyf0n6FOviPt37LMKV5fefW67IoNxyPs4py37x9grC1eRY5mEzSgqEHL9e2MVJOL
MsVr6sorgK9EJsivW82HGyPuvk1zsTHdNK4XClRR4XQ8E0EOVShGmN65By3elGdSi3fm7QP65mxQ
kQWUdZIz8cabdRCq8CqFwX0VLIH4UNSVceaYv27D/6ZmzJu2Mi2BzTEVWOzJbULRUGAiP/hX4TqA
Z5F4SaQXxZLiCZW2It1p15s/dEMFMcUtPbTViSLte9sEzEpdJFffa9CmMjYdF4dovKltdFJa1AgA
IsGGuRKFo/99h2++uyRdr+XO18zjP3cGJGM7wbUouPofZ+fRJCfSreFfRASQ2C3lumgrr9GGmNGn
wXvPr79P9mqKqiii70azGIWySJKTx7xGqXNjr42zvZ87GID3P9/r7WckTVmHjggVK8f88jzEtEO5
fCvzvJTxuMOnLt7FlR5svOSrXrgMgFwcCEpCtQACuLpCkCEITKdJdT+DtP0iVCV+rAG2fUsrm9I4
DkM/dE2IV+TeD3o41PsBzduNwfj1x0zTFQQSdTnG9gT7y0dN8UJpZPvT7wsYNIk7B/9r4zzcjaaS
/7y/qzfKVZAMXJUUy3LUsNYwTNUEWdZ5Vn0zVfmGcJOdXzBLNrzRDkBPdUPwoFRxctQ1O/dTtL+f
JksvduicFK9unZYvtiidP/d/lPy0Lz8B+i7cCuwBNIGrUrXAX0SJ7Eb19bqfzmqdATKyG3fvBhW9
aB1+6v31buw3NEt6fsROPj9z9WVbqA/2CkxuhGpzNPTd3PC6eUkOBLqtNu0V4IeTBS+HYSatMpOL
dhU98VPpDWxEJ19TmvTRrWtE1ALdPekTJw0kbbyb5yQ/ANCYn60BlFeA1zqyE+34NcQoYt8sJjX1
GCZfy741dhAT3a1PQB7x1fYTfeBn0PykbbiW9O2SSMngg3Q+9SZc1ck4DFX2Rem1fxX0QhwMWsxm
+lZGcB6VTntWMAc83H8h19867gnMffFVxqoRkPTlB1BEwAS7yBz9KoPYb9sw/qYAROX9VW4cs/de
JZquNEWvyABgXadkEfXkL0bQvxliqT6RHWu7ZirjYzov00ZudeupZGcIOzBDXiOrVw+wLgTnKCa/
TFLlqw7zEKZt+lGVMhm6iI5AmBmD0H6Sh/0/0XjRkqoyJ4PugrX0586sh2NTtf2X+3t341nQV2WM
TPELcm39hnoUhPQJxVPfdAtzD7fS3pVwjz9+DlhFohvAscvG4eWzqALPxiTgDeWl1e+stKuOrVZ+
FFuDQDedOuaAtvwmgbNerlK2ppLgONT7Neo6ezR41JMdG8Wup2eyEWmutw1okeQJyakaf6wOdp6V
iZSN0P2gDwt/hn3q5b0ZbRy063gGgAtkLmMM+uTGGjKGeswYp3Yv/Ip89HnQ6vA0GXV/qrHZOn30
HLAUpuB0Xen+Q3O93DtsW1sXeRLh60Nk7Qe9LHZIgG8hMq6/VFbRdRrxEr6AON7lKsKYAmeYWSVr
NGtCPGiKX2NbK3YYuNVe35Tx8/3HunEtsqKN+DZyf3LMuDp5hl7PbTDzomy6cK/12GaPRVTO57AE
fjWXqP6h8aLgi5HGrzV643+GfKZjCOn/lzr26aM5Zsnnjd8kr/3LuMw2I4QBbQTJ96trMZmJiPPc
6n5bROZbwWTvKVKb7mSGsj1mV451aOp62o96Y33Cs6faGYWeRPtMCLSh1E4bXyqlqX6GQ6S/xIVI
vwgx2R6Su+2+UbMtNu7Nnwusz5RTcHZylcXYSupOE5KNfmqG4b7vRPMXt53zBr/SOumJae1aRWLT
lXILMnnruIBFYPQOVIlGwOpQtoY5lh36pD75se14ZHuJn2R646HIYTxn9VB+uv9qbi8oLcGZhjIk
Xp2WylkAnceO7o/hqJ4zRVE8lYv+R0rn7CiQjPt2f71bYYQBES0O8iMcBlYPWM/Y1Pdi0P0ZBcXX
IXC1o+HGWx/BjTBClCL/JN3mLl7XlEgDIpdk5cJPIq6qvGuiI1goWsmj++HbRIYqoAbyP+A7Vkm3
hZ1FjlCv7qNBlPmZQuM8T4YtvOmNXZN0MpaBSA1DZHUgzSqvukBFl8KsrfwYxWXiuyhNPdx/NzfO
Ak0EsAKMkAkgtvz//7l/C7eMgoIZmk+7yXikhM3QHKmshwL1OZTT6m5D9/DGW7pYb3V7jXWxhGZH
i63Mu+6QhMa80xR0DPoei4z7j3ZrAyUVD18LSmDEmi8fDW3zBIu6SPNpME67yNGHHWSALVOHWw9E
eoyPFphuwFar1zTRNCWlzDV/yvMYHPkwkJt1w6lIqo8OW7n58TKByE1dT46xTsYTpDnmGOKSP3Zd
s1cRLvGSEqWx+9v2Dk5YBW6+IUni5kBA6RKX+9bAcU+dVlV9FWtsa68iRf83jb623RHo66PVYdC9
a5A2+Suvq9Skr2cpKG/h+qnvaG6rL3T8TKlUM4azp2vZjLgkjIBphwSfc+7DrK73Xezkv40lV35L
bhRyI0ElIcKj4B/CUFTZU9AwDcBXe+k/ntTIrIksCuYcddsqGo1VH0GRNh0/NXpn381DxPhn3BJc
uPFd8cXIYycrExpDl5toGJVY1FS4vqLMqDoyhyK8u/Vuxqn1mFdBspEC3DiGMAEpwIkIjDLWKDGr
VIwK8LftTwSVo9oqw2m0InU3tpbYCBm3lpJYMfJ2QMNk05ePFjPfH00jdvyoacVxZJzhGUz5joGZ
/3v/KN5YifcEYxd4N3CaNQYazsA0jJ0rfHS4oA71iPJyJytPi+b0548vhXK3HIPT/KS8unwoO0zm
ymX256tj0f0qWtX1AohRv5Iytj9+AN+FOKARSC2DNSkjVGxLVaLM9vs2S5in6u6ho0zegIHdiH4O
WRdTO9AFME5WX/HQYRzYhLXqF21hHy20KxGaRP3uw9smByW2zHIZ06/lN7p2tBZDbVU/BdLlG5qS
HrK4Mk5htXSH+0vd+KLwOKe/KpseDgjMyzfkZvDhoCmrfpfl6YPLTPHgIpFwKLQBUffU+vv+cvIi
uoyCDlWcdLAgRPBVrZL4Ts91pbTbkrZCMRzBHKTnUVfDQ6moDH8J0hOyXHRC7q96feIhzgCjAWYF
pgbezuVDptL0IWG+6BeGVR4C1ai/F7nIf9hIlW0sdX1ApOsIZRdPyQR0Xd+7o94yFqxyv6NoJeGt
GIa2CO3ef6CrVUhgUGaQos7cjpzEywcy9cVs+9la/CpYeuhgWfdots1WS+x6FVI+Jk1oZ/BMzvrr
xVe+YLxZB35gQ3SE5l+ggjYbGydQxoCLIyHVbACMkVziXMBDXT6L0BN8apPG9esSCmHszk3sOYll
7iH+Z4cGjc/ME2qRP1uxsDaK5KvTz9rA7qiTwZBRpaxy9kAqFpplHvhzjF5bHrqNZ2nND103v06d
9vn+S7s6he8LQdyxEbvgQVcvbZ7aup/F5Pg2KlKvKsJib6itJ0cUFJuNe+vGm0OhjiQD3Q46urp+
uac4veL+CXfND0BOe02sdDsDStzGm7v1QCSCDAgZvkuNkMtVEH4mFAem66dpMJ0bIv0TkprNfjSL
YSPBfb/ZV6cEdosBFki+sKup7rgk1jggQu9rczQ91CFCoP2sZU+dboX/IrhuPaDUkKGmoFtPSJNJ
mVfX/WxHfbJz9DR/DTrXPBdmGvmMFxfTQ3ALHUIEriMADkVz/PCrZpZJk0f2kpk2rs4VmKECk2bb
9hVHmR9Mra58we/56TTj8v9YiimtyQm25OhldcVObYNaX1PzEqDx78N8tB8A7eB36ERbTARYAFff
qvS+kt0H+tbCWZ8rnEUiMBIGEWG0B1ySm1LtQDovI1qSqsQeFJMZaFQ4oMGP3KMwiseqaWyU+0r9
95Q24w9rGjLhVdZcJKckCKJi12FY6HqLEpufg6TNmWBB5R49BdzQjwiZuCd49aIgp5yDwNciJQVR
HkRBt0d621x2Zsd1jbhsZH+boMR9siZMuSRpsXwlrs0IfE91/kXvHJrnRRnF3gSA/kWJQg0Qk1pZ
QKb0vCFdRfbjX4B41c+gauJmT/PHBOQ1hfqLFg3Fq7Eo3ZORu+lfXa9pqacheYJsclGb4V6Jw+G7
NdICQNewG38wP6o+WYpd/KqcxsiJaqH9bxzmdXIYmevoXytXK4s93GK13GXJ3D0w62//FK7TuWCa
XQWfL4At2XkqZqPz5RzkdSzN1t5naDmEXo4VRrVr66pnQWMoVA/OQBQ+TOBi4EjhrvCvHQsF6kCW
TIBjy5gO2QzpwSvHwRmOljo3D4aVtjryyK0QuzielE+LDl7f0w3F3INrjcejqHvzh1Cz/mvEmAqc
aCh+CBTVYhBOTZcfrSTW6n3YmCg1O4nezVDXXfU5B/jCULhwO91zMT5oPbcrF2cfJiZyo1YRpp+R
fg3ag9HzQSKGJ1pky9UW/+e+xvRlh7dMsDzZtUj/sroFHKCSLuVXKzHibwnl3J/RgIsFYqzQ/2cj
81XvIwVvQGjQln20Rd29lDgCSrxibTl+J6oaEOAg3PoQFlblHkDtCvWTYmZS7WKM1N+TrnDgXDNA
bjwlRxCnukAUe2cXBqROMxOQMkSkFcOHAyiNFQSWKC0kRmbddDaRKIU2pxWP6FYjVWtx7DMvrRzM
8nSB8cf9oHQ9TQfzQNYPAQwGPQnfKg2agBHSy8+bx6Wr9K/qvGgTYhxBYHsKCfX/dLBif/SFS3Dv
LGw4iK5ihoWZNg5wpTJHi2HrB13HE0lcRJoGFjV34vpKBDIAKH1GSLlxUtPa90wi530fONY/pWul
5c6ZVOVR6TPoP3NqKcGZrq+tPhkh+onInmti8PR8KKYD40GKY7vNUDFRuWSTo3Bi/e94wsMYmYgi
+rvBLqY56ZHTfwdO2v+TZqOAsD6XaXTQ4yb7px66BGXGsA3fkBNFTgvh/NT5XJSooLcLYtbco4uW
+wOg0h81BWfwmIWBmlBBmfWf3HBr8KoAL5RTrJYiOSAfqqaHYXTAJqRNjsZEraSl44skTd5s3AkH
j2aidcqHtk32WRC6v1X6XaHXL3b5s7a0vIdPXGv9PjXt+i3WivpXFs2wHwX8/xNqvHO1y7A8Qfjc
Fpl7WAQqs96cZW3qiUJVgpPlpOzTmLjN9IBngQFXukYz1NOc3HlqywCzBqebxQnhWbBtURkkSHqm
1Bs78souOSPeW3yv+gmTadIwJF77KEPvusDi2Qbp2/blDrF9NKbp/CpvjZZb4b5yxnLal3PpRDs6
RcbvgQ5iiLz8hBYFv18pHsKJ+8VrzaxxvTpI6vKZShR77rxRgJxaiTulJxcRkbdJWlntJs0p4GCL
Wvk2TVhW7t1OcX50vMlfmBtE0S604qXltSfN13C2Cd3USr1P57Svn8OwGRheh2GNPYNQ/0ndYZx9
Nw7C7lQ4RdVLYlVXnAdNWUDBpvSlNwr7q5KH7imdCnJMFOjQvl/lt12Mgv5oluVj24UGgNmw/U7C
Zjw04Hl3Ew4Hx5w/io1v6zoDZFVcgR2crJiYrGdzU9dWQ+qaJRYl8XAsOB+f0ROuNgLYdf4sV5F1
HNmADSrjMgNk/CCCwmxLaPJSJoRegvo6xXZ/BBkzPPVat4UIuhEwsKYktaIAF6q59iXPin6qLTWq
HxFTmx/BAuePoVjc1zbt1Y33dnMpqThFbSyxEascWqgT0hFojz+Og2nTgsMkYElUJtEdFqP3A+HN
pZjUSqtuBlzmaqkmr5B1sZb6ESoftkhmuVvUEgfdGSTA/ZVuHAvgBnCnGGkx1hLysP6nMb0IuO/Z
FFePtWkO59xabOyRLOWjbR8uGjmUkHX+uynv5SoI+U42ZDmORYLkbUP30tNwY9mn0HU3tu7WA8lR
GCIFwgLvv0p/NV1tgiFwqse51xR/ig3nuVStn/d37b2tc1l9QIWUiA3SMIZJa+2xrswY/hlt9FgE
Spt7RZnLvEBoyxcrwiYBmD/NHG9azOSxTtsA6V7RRF9T0WkVg7piVB8m1y1QZimNQT1gpAaPQscb
B9zWWGV+jS02ot/YRQnSLyv5nQXW+MsM1dCPcvqTDBt1LHPuP9SNb9cEUScHFIw5r1RTGuQtWn2c
o0ecarrfQo2EZy9Z/lmAaz7PMaCy++vdeFNImUkLKGRq6YKvDvm0uO1iDWaE0kPSed3Yaz/d3HU3
Gky3VkHn06U9QjlPRXR59Bw8yyQvJH4sEiU6zGOGtZaKRvX9Z7kR01HsgWNJ9MNObN2H1rpOHdKo
YxXMQ/xFIy3QrdRAYXseqqPOWPo7I4UtGbUbzyZZU2AiGSkRkVbNRyxXY2WiI/io2YWDbZJYYFfE
tPU2Tsa7yMvlcWcO59K+kn0RzvwqSvTGbASN04WP+BnUhqcNXbg8GEHdj7tQM6Nwb6ZxYnwZLT38
GYxtKDwHaTPUv5em/16a2fAjxAgKs41+XJ6Rk2+cXTyGk+EViErND66WkSsVtVN97bI5cDH5YC7n
9YOFgxQC6l6v5hKWvkzTbwQn+mjnjIvzF5Le4mdCfTXs9MgYvzDiS54taIB/So1q1OvRQvqKUSi2
3BqD2MnrUqUD8ujiYetpaTVWT2HULt2+6MLk1xIOVrs3qfcGUpHJzV/CyozHfVn3+J4YhWOFOyug
b7ib7LDL9kmZDv+Ufb5YezwS9JdGr50vc1S3zl6d+/nrpKZwASeSGiT/Jy3MdwYsbyxcghQPLAFb
pjvUwKCLfU7/3X3u7TqLSf5c7VMZKvGP0cy1N3UcXOuIe0DyoGLK9pRWYeU+uHik2F7XxWbsDWqf
iUPhFku3E27J0/SGlv1WW0ztoZI4ZvMYz1i8eaR0xYgDXh++UmuW//RzqcCCcGNd8zBLwCp9NjKL
eFPES+RZZdP3Els4v1lTFr6YU2e88JNaDK4qF6J/USQGMSpi+7FPSZFMuf9FXUUjemrEIpqNFpKs
TJAuv9ua8QFGylPiK4abnOJIVN5Y6AZWAHNwGrItqPQ1xFMqTsspMCA3XaLxLteLyrpUW5TqfCdZ
7EejcpsfYCuG30EN4SgXmX4QTZliWRAoSurxBsK/aVznG22t6y+a0YgEKEg5DoG81uWvWKLFWZIq
TB4RKu6PyVAvTxRuWwzj6/SCZiCimRK5jOztulscm1HLh1frvlu54aENsC7qAmMkp7etj75GIDoG
kkFck3BKr+V8kjBEha4VfhuFxu/cntWXzuQLg2+c485ujd/vH5t3lMMqVHFY0CSjiAQIsR5HJyU2
FwpK1b4gE32gx09LBkrtWa04rWbulke91epTjTnHixJb82fXLIJ9joXKqxYYVEppXn5N+nIT4ykP
7OUPk1NewMpkWmDX1plqQNdAUhqTxykR2vclCCyN64gU3MuEIbJdPyI5eIiXBKvMxOqNg20P1NmT
pvRvG3sk77zVT6HDALCN9Ijvy16dspw5wmLXRfgostjiiaNg/s5M3PnX7Kb8d54b+g/w4sUzZoXG
AFdsxC3JVrHi8Gy1F/9QYRIGXJgLD8FgL7+zBOG/PVyQud8PeY/3TaFqnYM62DLYv+//9usPBJCG
Sl9TYp5QNl7dRDgVLnTglsBPi4RTpFr1Hv6L2LjwbqzC9hiS7w9n6KpYQlo/R2ekCHwnyJH9y4Pf
amh90M6XrjWYTMZ6QBpIu9z1V+iA3o+xXXF8J8L+rxLBa9/C4lxi90dWlBtzyiuLSnrOkofPMrSf
GTms8uKUn6MiSRGc57zMqMeDJtmVTZ6/JmGf/IuWbeYx5AwOJQ2LcweZft/2pvqqu3MZehm+N+nx
g2+SISNRjjwYIj1bvAq4cLCDyZ178xxlE4RIg6jbjEWwEX+u3iTPy9iUBFDyJpB3uQyovRIFltsD
Ws/hwx2aAb3teFC2RIJvrQJWXCqeSrWNdSNtrKtw6dhNXwTOjCZdEO6CUes3hlNXSSaxQ0J46Q1i
mnElq1yJLlR7pwp5lk4/jZmjS0uZkDs4r/dxOGeHuDDajcnR+zG8CBZyVYod2ZQjhqurHZwieqGm
3oR+DCpd76Zv0eTujLF6g8vrdy4yQNX4VCbjKZuq/w1o99thiqVM+xL1y0tjGrtFpOeuN48I1Z2b
NhwPZYoFY2VvlBPyAK9+JwEW0A4/kZ+6psi4Od4sZjMkPnpucUTDazB/VZOV/TMhnXAUEAZ+dWRG
GFbh6rmxSVcXqtwjG/A2GuGMX9dYAxAA8mPnw6FL4R6rJU4PhkJruyn14NP9z+ZGXsSXDKeLeZJO
x2MVAFsTDtTSB6E/RAif2phqwcJIcgC9Rvw9NrAW3NjXW6cO0TGEJ6inqQBWl0UQ6AzyAuZkPeKK
QIwM11Nn9QhfO/XwVvHzOvioq8E7lOI/S66OnFUilDyiDuzHcf6zyTX9MKeQelIn3EpPrj9cRF2R
MaW8oQYFhn8ZHma352AUE7u5aMs5C4JfQ1v1G8yda9yw1EEnESLP4Fbhxr1cpa+bUXXMOvWTkRjr
1UbElGeMnJrwqvV/As3NxgPT4Mjy9C5ORg/Ko0GRr2St7sVagCgxqbD1rGYAnvb3z9ONo4sxgISE
E1RIBVZ73WmqNKLms6GYCA9gUNxnSjrmap2V/bm/1I3NpgiXl7Zg2MCfl9swG/CmMrEkflHkaLFB
tz90dbLVEby5igVRCMwF6d+60ck4UvDF24lvtum8N8apeA2tTvsovQ2JSjRr6DAZNM2ovy+fZaws
LcjNIvGpyPAJttuBgfpobuQhNz52ZtzwXbkhSUbUVRFEnO+jRrFSPzKs+jmIVOtJnULlYdKx8vUi
1Rg3rphbC8qKwIFfwbprpi/DVpi+apr7AN1Qgx5Uk0iNEibI8x7McjIcP3wkmDwxFiclgcO8nve0
6Ly6calHfsm538ULYnlzkhof30bgKpKQQgNSjpcuX1ZVtnU+x/LiHLX4qLT6OTX06BCU9achYW58
/5nekZurm8iU2BUoEBZhZU1QiQZlsATi2H5U6Vn0EDZj/YrnX/A9jJbBX3opjgDGSfttNkrWewxc
x//hOo+QhluEJSKyblboR9lryB+LZUZoBdvXVntgpfaTdJJDC6C11HjHoL3Gwn6o612QVj0zU1PS
9UoMfMDWz9106tVJzR4hl6nmjpn1ZO2hNtV7ge2ldWhnze69KAnyXwOivJ9NPcvmjdvj+kDJrhFo
EPDv6Fmvv0ZG1nGX2IHmj2lv7xS7BX9agAWlJkRBHW32jQN1TaWj+mNoSVYtdbvhGFy+6yWOOlwz
3cWPS6Uydt1g5b/iOqjLXRWKcfJ0e6xMr1XKQdvHwqgMzIRTXRz7rndDoLeRLaeMev2mV4kIjqmK
w6qtJ0y804ge1P2jch2r+LGymAHIQkPZWjUn47SvKE75sQ2eWk+9kzy3RTB9tKcgd4QbnA6ohNmt
SyZd7zr0YJTFT2lH7y2Bs7vW29PGN3Z9j0iQr2Sy0bIhYK1CVaCXKNbUpu6nSW/scTitHtDyHV4l
FOejXlGSTkEwJBGmuUDWvcqBYq1EWmTuDX/EkciLTSvf6+gFbTzRjWsb8jypARIOQMEIHJdHyQEO
MTC3bH3S7V2u9OkpaaL9kBY+rBqvSqOjnKb2rflMN+hpCdtzLD+uxc23wOI3zgl9KcpFVIMlqHW1
uZWiAf+N3RqYDQk2KuqIhuTio+YwbCvUShmzKMvk6OnyecnZU23u9QahDMv50ZAJ7aYw+TBNhVUI
BYRjoA4g0vTLVVBmn60mtRof9rJ7DJWmO0BmDT9+6JmuogNLWm6hL7YKA2ArokYoQe1bTmQfC0cr
zmVNT+L+93uja4juK7MmILnA6viGLx/G1aPOzJWi8bvQDM7YH5TP2FNbON1n2YuSt/FJm3or8VDZ
CY8L5fCzMk7Bw/1fcePTs+kZAh8gSSDJXJ0Oe2jmGqOK2scawtxZepSfFcsKnjR9SDYGedeQEb42
+TkgUEyCThp3+cC10EudHa390JxRzyryPWgWYyeC5AUbVgWqeAJGU9EYRNRGBm16qtBXG7tv9x/5
+oOg1pP4P9mcsXnTlz+DXLnOy1k04EREeMqavt4rcKc3IsD15fUu2iaBOEz5+CYuV7FrfLFti4vc
bEKFtr/lHEWkq0jz6NFzuLTxxuV166kYLlPAIjDJ+HcVcEQ8Kmo4jEBKojjeF8id7KfBsPcf3jvC
M5rxUpsG2sfqzDIYp+ukKLnf51mwc5YKpbMOtNT9Va4PJcQtCNt86FLwbt2/1wbFzrVML3yzRxQg
XmL9kFiYe0Z4rW7UV9dLgWrgkqP2JkISuS5fU5w5PdJFKhFlmoQCDCw2d043Bgf6AJuKhddtBmKk
NL6QBDiqjNVii3AG0wBf7atxMLyBF9GwHsPqwSprzsnQia9VUIMDdBvHeru/pdfHg0GmbG1IGUO5
tZfPGRQ2ElNR3XM8BoGhdpl/ygvLPN1f5dZuSj0hkN7cBFzml6uMZFBxmVm973Zu91xNxrI3nBl2
jW3UW/XNO+/8MlU2GfEYJGtMnWFzr8IJTafMMId8AKxa6fsM15jHPgUPgX6xaj9Lg4AzXWQHsa2h
jzx0+pBugxOgfAsRivpTpBN+1WZKgO1oZRZHA+H3jRhwYzve8cVYphFq+DIvt2OepHBlOgx+000A
TIw0Pw0W6Heso7LP93f+xvuFREeHD8w7yeC602KUfTnpk9r7iFUWh2pxKs8GIHy4v8p1UHsfg2ML
IAigNKQuH6jHrWzRQ0InYqqfAgyek6INvKURxyxH0e3+YrceifY2My2uC67H1WJG5fQO2l6Nj1ua
8dopgXOqonwrTt9cBbsIuBwyuVirwGR1jIalrjW+s8zz58Uq8R80+m4jOt86CSQUVDJITdKYWXXQ
Y2NZOrBNrFK70y61px+oKSb7xp6/3N+064UsYpmgxQv9hnx6tRD8R0zQkXnzwaln52RehhPizuoR
p/YtktT1YeBIk9oiYw2LHu3Xy8OgMIeUuPDGD6ewOKLjOHmWSAHMaUt2cPtoC4V269H+u94q+UMx
r0E5nj3ERrb5biB84fV1EnwdLCvfmHgImfZcxhYsIhASkw7CJgCJVVqU0CKZ9Slp4UuVavMrBQHw
Yomsds8o/bkFCGtcyEEit6QoaZQt/ytgIhuIGS5BekopqiNc0hOMwHtDURf6IEHUMVHX0uTJLlG0
PnDwhbMTam4bx6gz5u8hPRVpX967nzR0lcCw5+b8U6+LyM9gembeYlnjX0FcqNzufVX8wNlZn6Qr
WKR9+MPj+nWo2qUdEXFVXL7YOmqzhble7vPanVORReM+Imzt75/U694wOGBaHfTZmK5cEYLqUQ+z
IqoKP9dm8WWm7fYmLbxDLxgs9dQ7ava7At39/f6qNw4tVGMMH2Et0gpfa7bhttCKJVYKn9EytuoD
ApALEO2B3NRryy2G342UFwQCMyRaYgiccQlcbmWY6ZVbl1ZBZRtmT1SLOBODunkzXSU79Rm0uLhB
9VNJoMp1XdT7KT7t9MbLrNh4qTcfnIIGoWubimNN1OR2KDqK+YKxZK2GXmrE4jM1anHos6i0wesq
6kZqJVOK1TckZFRlgCYhguv4rQxYaZiBSOmmsLlxWvyFmtqnpjABBPd/tch8eLprHEexfLxnJxFb
pI9yUi0bGJe7HqhdrJtLlPmWOUSnYsGWLlW0Yt+jzHdABDbcyFev8zrKXjIL8h4JHVg7r1CaMdnA
PwFtD61Idg3TDuQHZ+tXQB+53GlFGqEwjDHR50mbs40TfX2BsTgXJFUcZQbB+PJhpykJYD2KzBfI
svwIQbo/aXn2YbE08kaTLgI1N0U+4kaXqxSKvURGk+S+MujxvmnK6rkxxnmjhXzrWYg7BkYacIOu
wCWVU2bOCKfHbwGsH7pAE09xZNQPH48BEAQgxJILgx5c7VhoDc40tAmdcazATqox5WetibRjQp/5
we1SdyPS3bi4OBgSOE3fSUfo4HLvOtEuET5rwJHexWWsIau83AbrNQeh9fXjzwYZg1miFGtitcu1
xjLgMoPy49e1guNiBUrkGOZBMRHdzPmMYBtCrfeXvPHSJA2Rgo0mJMnEajtduhfdAhnXBz3r7h3R
uvsIDdyPr0LCSVeGCak8iqsGUww8rU7A4/tprNce5LvxbRCRudH6uXEpvSdowLikgugaARTaizom
DTmnKtr8NRKacu7Vbn5e8Id60Ws1flKR+jjf38Ab54PDIfFqBieMOvTynWFBzDU4lLUPzGJ4IHc3
93Demn0RGB8vd8mkBZbUAJx5ZWshwNaOTb1TzdIfhBrsWqP4jRWfgOAWlR8/9LJEoFNHj4ve4OpU
JPqUIdweVj4C5PlhQCfglMErO+VJt8V8uvXSOH4q+RrzNCwOLvdvKqJodicDWmTUjfu4s4dXG2Uq
SDdpmYbeolXDMe+jrcbqrWXhkGIVxX5y1ayW1dxQhzrXlb785vdKk4W72G7eujFhyOaq81HVyg8z
wlF546bhSVkZNdPVrpYTQs5qOpd+qaefMhRcd1E/Oxuv7kaqwGUGsJ9eq7RzWMUQc+4QyUvZT2Vs
8nMTz0yBHEV9wuYr+5PGXbQxD73RCWWuLS2N6E4jz7o2g4PJTRldNpVvjUU2ewRu7ZOIB/UVck+Y
7ZVqVuKHtBmhhBLQ9PPgxFPp4UW+BR64Ecre0VSQkMGBXGFx4IOZUzxald/XQntC7d1+Qmb+w1R4
qYYsXRelWIKkNFyeV71MZmXAkoPvvXUfatEXD1bTlYf7UeXW8fzvKvJZ/8POmMtKxG6lV749h9bs
ASJuD5aa0AMpMuMczZCZRwjPW/X0rWBGzgXJH26vDGiXyw6M/gMdHKUfytICkSew08XAiLsypmhr
BnbrpNo0laU/DH21dVaiIturxipThziBcj8JuNhpNFZeVGP6WZPYbyTRN84HnwPzMJA6RNB1ZdTA
FcRhshz9YnINnm2u944Sbw2BbzwVvTqqFHYRPWuxug900dhNNFSDT6LUPCQRoE6r7oN9oir5rlw2
wYQ3Xpn0DaSMpykPDE2epP+cFLMDjJ1UzcCIm0R9wDHgoTXi/Oh0lnm8fyivNlBedLgGcgshE0JJ
e7mU4wxJJ3LFOGfo/GV86cI8RipU6o9mC6t1Voc/A2Pdzo3DOa/r9NHKgQUESRdsfGJXeT+rSK4a
VTLIsStlzEIU2KiSRJ5Vu8jNpyq11E+dNbU4XWtF+zQYnQA3HDbNt9lsk42zeGtxqZIs5X0QB1i3
P+Fr5MMypMbZCdXip9lPGDHWjZVp+z4ZXPdhSHTtYRomt3/Im7yvvnz8TXJi0LqSSgpUBpdvUkUw
ekA9SZyjPkLjUp0VzxTh/+c9QpMiZ6HuoKu8Opq1A2OdMCrO1HvRzohT84BCqdg4LVehku8MFqBE
qMEbBrqyfhYzsN3KDs5mpUanOUzsV+FM8Lzz5t2uJtoNWdJ/vr+BV1+dXFQ25TG4goG4xhzqoS4C
GsHB2TWj6YtS8m0j1hidIShvteWvge2EYxIVmixgx8mdVw/YNiJrxFTY58GqxN84CQ4nkDrpN60w
lWclDPOXoEmjZ1Tuy1NWNcopiSzrlLl5dUxdVfk+DFrcn8bYaje+oOt4wA/jBPH7aFchI3W580E/
x/ZAxnauMJk/ZlFSvS2ztSV0eWOrwdPIgb8E89IgvVxl1I22d4bYPkd0hP6KFq176mn//1nSXt/I
Zd6D80XX4/3mQ90L/WrJIVidWDHYztJVOmtF+IdbWUKY6wCOdLuxwlXXG5VC7zwVhMmvMlSbVxNz
82mHXFZg7mim6zZ/Iwmf8Xuphz0O1dF3lslfmWJVcKBnN/6Np0hb7/g30ZVblAYNNrfQJ9z5ajqG
LawhkSYeR9cIdgW3hQkLUA9+/B9n57Ujt46t4ScSoBxuJVV1qA7udvYN4bCtnEmlpz+ffG5cAV3w
YAPewHhmWJLIxRX+QJcHalVaVaoPMQChD5RDKgglcI5rjeHzfI53sKH1YMOQlwM7OHnfTsBOKSz3
btUUms4evZGPSi5tHirHkns/KKpbbjX70Uin+cdqmN2KxqiZxG+fsEubi4IAbO0GxCfTOv4ZuaUg
uVUYhKWYAG1aGjkMtym9sso51IOn3eauyEKZ6DSdXp9zmakpga99txqcD7pRlgqbquvxVcnqfVoO
8wcB6xw4URs8IxBdLPjW9xi8r6YZmhR696B80l///uybAhLCwFvwPG08lmWuG1OJs6uZgVg3m97c
9dO/t+R5dJ/QRS2JrjzAqeM3PJZlmgXOgkMnQNjIWjt09DpfRrkKriXNFzcVVx1aMUz8GN6dNPUW
Z4VjU+MG2pejN4RVA0NymRbnXo46Xl5D4kTGuNSwc/wgVIWPRoKnvOH27fd6IZRsQvnknBAiaPWd
/AoNRGXbiZo5gNfZX/APGF+9JUDqADRY9vnttc7ywI3ssyk7syIWBadrLaXAFYxRD8lSL9E3840d
8sh2EabSciJ7Lcd/1opjxc2oBQYU+m1AbI6/p2VOyRAgCglICdmbxOnUrSzEF3yK/lmhkJUgvAIZ
QsQS7MnJSghIJD4eZtrdNEv8tpGC0OCoj5aGw9Bq/A8fbet8A1ygTOeMHj8W2ZC3rKWp3aHmZj1L
UU+72hrtlwKtlisX2qX9sd0wXOxA3vEuP17KrtxU6+wguZ8xezx4mp3dTBSxO4Ex95XAc2Epkj/i
K90HrvbTVp/cJt5VVSb3+SbvMmtINJmogsZ9o7orCdKlpSi68TMAcUiHavv7vyoEa5rgIgdreq8v
Rnu7+Kv94Kdr8OgDIL2S1m4v6OT+pL23pURwk4mqJxsj853WzN0ku1cj3s1+n3o3qIx0Ztjq2vRe
6k3zHThoOkZiVuPHNA2utVjO82rawrB9nD8TG8La8bOqzTJhFW52v6xS7L2NwJvaCIQhwhUvGsuR
YUQkNO7un0+7tzWT0CNHxgZwzfG6Tk0ar7RG3LXlkH/Pk95+0HKjfCrL1X9noVhwJVO58E09QOjM
+TBFYFZ7+pzGqDQhlXYHBe6bmXUZtqQyJQfNtZu3n2y77k8/KRXCRqvkFKJBdPxkVEEJLDW47cbg
r0FsWzLobtcgqFDBKS3zQxP0K+w/bsavby/8J9E4Wxlw3fY+t4HfSSKS9tITE7nr/ewWZjyBmN6t
hkICsBlFXObmz1KJF+I38lDLMwoMO8/XdkhGgssx0nq/OlmN32Yy7hMT/eWgDrIrH+HSbqc5amzc
LLban0vvr4NF+djY1mQRcIPeuC+T1P5eT1b52VWjfpOMQRf6KN4cYGqJlzZDxOftF3ThhgHyxHgK
fMo2CDlJjCuOgaV37Llh0NuIU1G+4rY3PKBcU3xunCr99M/recw/ON80+th0J9Gx8jHMotgTd5WO
v1ONDPgOpn/xnPtTfWXTbTH95NP/vdQpsHHAD7ZAO0LcTSVGR367IB+Gnt+/x2BWoQynsqKnforr
CJqZAJyzimfI5GWudD9eNa15t8x43r797s7R6fRk8d+ABMQ3IwE52cw1zftamrW4y1etvTNn0fwH
hQ5bVdl1EvxTji74kq83tPgbCoy+u20qf73Bil5iZ6q89C4rTPMg2sIOc9DHn7ykD17e/pEXgiew
CcQg6SJt99/JhtJTd+p1bRZ3/Jy93YBomJrmxZunex1XI+a94rmR6ZWhzaVIBm8Pvg65C2iwk12l
eFdJh5bu3ZLiQKqs2n3NgEU8eHlv/y9L0W8B5UxBwec4DmUDbbIAKot2x8z1o+sUEK2A8u2lKa5d
Q5fyXULWhrJC4ZOe/0nSsk76KDEjE8Rnc91lU7U+GjWQxNqrIAfaiXzW/UbeirSb9/6UL7fDBJ/v
7c956RBtMisbiQh7kVNu6hwkbduh+3XXeajZcS2LGPL9NSPnC1EIShekqI3jBjrj5CbSmxL6ZeEH
d6W3AHxh2t3eDgw5d43FOYoRAG2ufMZLz4W0OFiILSXk+jv+jEqMOVjyDs4lAOgYf0JcoFLtGuf2
0nMhBbsVwmhxwFA6XgXaTr2sQLzvJgEDmqlz8aB7Y3E3V132PndH7d/TXK5xmGX4RfMyTyVdULGc
8xZg2B06htOXpKDL01BkvkwIBV2JrpeOHFxlug7oZhm8x+NHy7qm9zXX0+46e2ke3Laov3hYicQ4
R1xb6tK34raAYMjNQYl5sjsG1ErR/iwSWPuZe6/SbLh3yvoaGuniKlzDZLfQvKhmjx8Iz6HWqhGA
uJ8w7okaZaXfYdMUH94+T1uIPrmU4BayhE7mjmzRSXKr16jxYRDh3tm1tz4MWhDsvF6lKOo39vQi
S0TcyAeqawfs7GtRrXI/QSLd1j4jUolOpoVdzai55KMXz11i3eZa6+9qt1qvbIyz97gVxuwLDinM
CWLX8XukTMlFk2r9wS9n79EKELDp2uka1fA8OG6+B4wrqI3BOQJ5P17GnVAhLsakP4jSMHDSRYCn
jZbU7DKso6pyZorRWk8Y5eYjDfjRBHxvD0lc2772+x8/Kb+E3G1jYhGrz3rHktZ8gHEyv8R1JhWT
Bc84VxmF95wvfTrfWLkXAMXPXLQF3175LHdkfL8xkIHqeWQFp2jyoGnJAVZ9OACLR/8xy3UTkUdv
Mnb+Ypq3gz+IvaNX7m+7GDRvP1S+fQUmef6xGV4GMCiI2eSup+2fNlO96O2mPhh1G/wEoW+/L2By
XAlr50BvumtbE4veLXoPyKAcf+yMy71Nurk+WI3s3wWNsHa9PnWfgdxYoVuleUCSs4ykF/Twvy+u
T3EYGLhHLcqTe1c1EAkKrX8AB15Bsyq9K6/hwm6kxCCJJ68lTCGVcfwDrak0Bt1JmkMKFxIRA0zj
Y0jhxfs25Vc44A++jowxn2Z8BR4WM51uAHL9c8LrUTpuCIhNXI5bdLuN/iolCh8DeT9tm4Mc5Prs
FMq/V33m/CtC688qf9zt/hACT+80dNSbRcrmkGteF/eDVj32qZXHb2/tc9zktgyzSBopf7wLTkpG
OqrKmNKpORSOsbz6aZ5Gy5hp920zcZTXZrwpxyF5dgIEljrbnj5UiZpuR6rMf45nm9wRVStXOGww
9yTQyNYwq2V0igPNexd9ZEQcvxlOKz+//cAXThI8f0Ad4NEAOZ1zwagw0DQpD14p6eq7XYA0zVUv
0vN7gCzrDx4TbCTD45PrJxd+0fpZXR6KGnfVENKl8VzOiwPtty7nb28/0qXFULzkQ26eiwSI4/1Y
Frp0lhUxmnoxvY/gWrVHsrHgdmrX8coBvPT2iAwMQsggIU6fnD8BVntqp6A5BAhuW4vsIs2HGvj2
85xlc5tAB4MEuAJbN+EU5Dn6deE1btUeBrrDP+3ENfZyruff+bomsW6zJd9e7w8T9ShZYEFw0fSE
SMHp4HvHL3BJfA+7mLQ8CNzHNLD8gTEjYUaWEhWLVdQhSnWIYdpZ7T20wgxwby9XLICqaRoQrkrT
wcNNCdGaxEZTMFwXZoBwm5D8jvqpcH4t+aiASsgu+NLRcb/v+sm5HftJZrFhdD1SfYnwitDuZnHP
KKVDNGCY8mflK0ajZWrTtl2a1fqeNyNsE8y9BK3BUu+ezJLhIhoNRYAYtFZlSdyjGZmHxejkdpxI
1dx1Uyc7kN5ZC9lPrmqJm6mb37uDZSY31jQO36xNHC5MwZb1oa4mv8AlOdWnOzUFgFtLlFtbRLb7
SYX+qLdGOHdpBvVHTF1C7K3qH9U0iuplUF6b3l35Mrz4kw8DMRFrW7QOeHWn4pN2j4x7miET2nJp
oQgPbd7zioqx2lUluwuHiEb5xoDfZHzBDB3vAY3iIp1gnR90lXu7oIV04Egdsqh9jT94LkvqEX0Y
sCCfTbZ9Bg1keKhP68BSDmVpPMB/vR3n0t2JXun3qHn79522Jj99lRqvTiD6ndnY9muCxt231h+M
qGpGc0CFIE9uUYUtnlHxqqI6r7xQNbIkuV3TB8gL6n5F+XZne4X1C6ED+93b3+bCKWWAzywKX2fe
mruFir9uQRdz26DeJFwTzbFIC4wiXlqJLLIQdtTm5Ze3l7v0fYD382kYqnvsh+Pl+lIzoCTrBDkT
nbPZKsew6Xx9r4nmGnH9vJnpgUlDSQ2qIhEITvfxWhZV6+r0/XCwW+7/0E+8pYgHWQevyboaw85v
Wtnc+cRBFbbB7N/oQbpMIdWpHpsdCE8sz0XhRdJT4jVAg+fnAEOdTtJq9Dvl5J26cotf+BbIA8O0
3wRIuM5PboBGVN7Yyr4/5I0//2ZoZ6FRMyLcR+TS18ek9q7lDecpsQ0mhRNJw4LJyClxdGV/DUtX
64dk7o0d6kM4AkzjMv5nzEy/4wo09EOJethdtnjTveGKodu/vSG2oHwSGzbKEJcen4kRwskzC7iX
m4ydfnCkF1vWoO/9dHiX28Vvpy6LPQiAaxAZHKzP1+Q6gtMBCZJJ0GntivpiX9cua6ZpifdEJzPw
VAR9c31IytTq4tbFkPamYCfceHUq2KiJ7wgkoS1M6qpOktisYLg5vcM8OeEIpi2Ag+JkvxCfK+6q
ulvm0HZT8aS5+Zzf6LW7fF6xXypDMdNj61wcM2ijoKMQLnpVvxDS19ekqNQrGuoKntaAFIDlZC1z
FMzj2AaTp43cVP7wwXaqBdTZvP300pzGF3cMxl+tlax4f8Bpfu+kdBzDbm2mL6VZ5t+8XKTr6+Rq
ecGtI4r3Nbj0L8tkp09wqvwP3WDKH25it3nUFlP+WBtJru16JYIfa9G6WWSNSYK+eD2P//WJN0xh
hWbK61JUwHBcW7yH+z+g/++s9o8EKi1XrG5oBz3PxPdUV7UKx3QBpmqIpEKwP5/GKpxLelUho2/n
YxtkbRW3fTJ+sFKFVj4IjTJUWcrLgZUACKLPYDwB1+BVoUvbY2yxGt6AH1IV0M31GaWbUdb367Os
PPUfda4H4L2v5bOna4nYuU4zqZtiEumwV/Xsq6gvqoHP1gzBFI4w1mTspcK44V5FdaSaPXQs89xi
Ut4N0xrl/KAJvZwJLwExjNMvrRqZZnGNVf2jk1TF/IzlQNPfCIX8f6T0vOTyFba/RtTWusmdroL6
Jh2BlAJM7BJ2FcrZVQRnrvzmT+iPh1ZheE9lMaErA/aM5zdmd0CZf/WzXe4UxjfSk2qhHs9dGXGL
yyZSXZu1keG3hbGrRj/v4tkanSqSU109DKXlNrHAkQElXlNqvynsedghE5oLub4xsygVs/0TZmBV
hZowdfGQrpPmRyP/UmE9uMOPjQiUhq3KTbUD+VSaocjy2g3pyWmP3lws2R7RsFHsc81IfgCUd+XG
zFr0iI+HkrBuCf7PEYWReML5S5dhGmiPn3LkuaZIke2yYY0R04isQS8/FO0i8jtgMPIV/ejyW+F7
xa9xnZwxJLFS5ZX89EISTCeAXAGZRrgfp3PLbgM56YbSDz0Mt6gL0vxBNFcj7IULDwqGjSIdRHYi
3Bbz/7pf0dWcgmW01wPNn2ZH3bvGJWqXcesZw5VQenEpcLA0eah+gDkeL9VY1roMa6UffO6ux6pB
bCkohuU2CfA/+PeovSll0QoGAXAm5YZeaTqQwa8H06y6+5IRQix8fdyJuhx/eIUPh2txuu9vL3rh
+cDO0KplDuZuQKnj52sb+vsrwe2Q63r7UmtAfkNaWM3nZOmvAaXPQUoeDTnaVFuDgGvilJnvcUfI
atCXAwY/YghtbgxCHK4bXriuVb9EcKK059VwMgSy/TVZwww21m+8XIwlHLlU30tCwG+7HGrtync+
37ggITf4EMDEjRB/kkNVMkmGldySS7trvjjoZ9+jReiO4duve3udxzczfJ7t4dlRGwzypIu0+F6Z
JImvDgMG8JFtM4lumqoOW75v3KYE8bfXu/BYrEcejZLUNh88yQT0AmGMnpbcQRdcMV1qpbscf8Td
26vQ2L/0XGig0R9DUoK042QbIa+4MFPtDy1z5CUyzUm7pxWPf5ah5WWzW7jUmXhPQT48Fmaa3Etv
zlFFcIWjYqcXWRUBEi7bOHDkPO+d2TAPtjOP+R5gqvehtivz44A+qRfrZTusoZPngsH9IM0hTkCH
4p0zNN5Hz+5b5MjbjAnOXBizHid6J9ooC+zmp5t0rR6Ok/KLXddo6Q8hRrp0g+W3H0xvEWak6W2w
7DvP04ywlWpuIxeDzyEqZs2fdxIz7G+qSPSUVKIyqzDPXHCMcz3ilyANp3/1SmN6rSlxKTMXZVn7
up+HnKcsrKeKq3bGCQdgdmxqqvzuJ9nwrTTTodipFaOkcMxtHz8gOyjKWDKoWSJJllKHzuy7rx12
VkUkq2ySh2TRaPCJMvOLcOSXZdA68SR9LoK1N9/z0iE6aIUrf81pYGo3Q5p2P5dKZt+TtldN6PZJ
z0h/riQ5mOg8PQShgIizt9XtaKskEwZoVtNEKLfUL1MLwidiJKLKqMAaBcEV1WqH1LCXjxpImB+T
4Uy3drskSchtpL7O5EvmPlU4AqpaauU+yBw+QdqvaKVpk64rpKwDdIKNVQb6LmVDeTfZNEqUfxLN
WA9zUWzFg0SaOZ7AMP4UpZkNKDevCEu6VTnc6pZSfQx4s/lVO302hqUrKUZUZpev3Kuq3+noXn1o
M9f6zq7qzBiZDs2M4BcXdeRaK8WygXY2fxZjgMyKNpIRvX0mtoBxetIZeDCVB829aRQcnwhlz4Y0
gnQ69Gk2xyltkzuqqbwLkzFp4rQU67tJ9Bl+l/9DExagHmBTAwYMH+ZUbKv3ysnAg2g6THVnhEBe
k0jv5DXo/4VQBrufXH8LZef9rhHF/KAwfXmoLZE9QE3oX6ytB5JXSxmDc5ZXrscLoYwOHqADbnxw
8qd9Q331JyMtMgWRInee1mnSqjDzRfvPvWVaC6AGAFKADuHRjr+bViTj2Fq5OqyLKA+rtcEWbPSd
394dfzTrTrbHNn9jGrbd94CUj5fpfK8fhiZVBxTsZysKoEs8IQdo9yEKv14fwjieD76m+m96U/dk
nbNJAsAJqJJQ80r361B64gt4LVuFttb1sAOW1P5kVKS00eogLBOuVCR1ZOuNl8GsX/OfpujT4c7G
WvFbbXZ5tsN1Yy3jSWpUw4NYqEfqSU0izPFJyGMxgO6mPaZ6tSu9CfcImXeIpWtj8pzYlf886YX8
qcpV/LZVV+zZiN0Qwi7Oln064gITJlkWlLGvoxcbmmrFAIgrTgU4SNAOiEghFQYasNCu0XTPa9EN
BwNe4Q93iazm5OViujWUqS4PaRcMWHkobcCoJsvvhtQ0dyhKVb9ru/ffv/1Nz1MpVgXlTX6zgahO
ZQr7ri67sbc4EHYhPqSLNzzgI+88wqScr2QrFx9wIyAzTGUicDp1w9+ocIN1lgfKTDffm5T2LzYi
fy9oSAe0OINmq2qudecuPSB8OjDHvFdAeycd7rywpkIITR5a2jRzKPRWPK6mVX7UEse8eftlXsoo
KNhoAcJ/pr61T89h0peMcbntfKt15mj2hR2O9Pkj5VZa1CX10oaapYYw15Nuz/Whv5PLXDwqMujI
zPVgL7qxuy1Upn+jnaXRiyirZ4wA5luvMIMfdqmSxw57vhfPTasHzoZx37V2deVLXXhn9IA2cUyI
yIgJnCRgljtmvlrleLBxjjlQlxa3lGTzfd8k6e3br+zCpthQuBu4mASbfuDxrtd7HCEnU40H02iH
TzQhyjKmHKQ7oNOvcwuhxZVtoG3+9rIX7gHaPYjSIlUIiOUU5J8GrlxyOY0HpYNbdHpaAb4YqoPb
6OPHYmr8K495Tm5hDwfB/4dncGinHT3J9CHzS3s8JM2g/zBzZyXWaY2bR0Yz2Q89uP/vmS2H17Jd
12jClXVcCv/n1nCgydGgHxVi+1l/Lexg/KhENiQ7WBHqU++O7RPW7rhOd2B/P1WpUO1uFm53P61G
8ywzTfvQy0E8SSOVn5CvLH9mrtebodFrn9yMTgEVr1E1+6WGTxm9/ZrPrz9i4jY42/QLKVNOYprv
zWlpr8V0aLTAw361Tpkvm9cMmc4/5obmBsCzocbB1Wx//1dlnbhK6lblF4eyGvfM9luIDdPwKZGO
edcwhrjyUOdbFh0qBkyAuoEMId5wslxdtg54+/ygRDpzvcz7XBctyNiyDHNhfAQ4cA2GcqEIJY1A
f37rU0I6Oh2cJAWuVo3rlYcWcegyclU659ulC4EQJsda7E1q4u9dMlX/dRSFXWgjPvwFPhWS52Y9
waHC7lJTO4Yl6p+93+AJgaGH+c0kfrPzOX4ffgHgjga6xONwpKcBKWtrOV47sedv/XiVk7m2UWKy
pC+EVi5x/0ZV2pJTgyXFwaReAOmnxv0UqOrm7Q18AUHBTcUsHWQAH51YcfxwOFNnY+9m8qAUgro5
OfuL0btrPGpNdeczbH9w7bQGOZpPd5b0jNvOz5bPujLcaBx1eTPoyjmUQRG8E21WXvl153F6+3HU
5QCi/lBCjn9cwPPOnpfKQwFOCcC96aAxrKtdUPb/LNnPR+YLkzxvbQBMfo6X8rS5WhevlYeGxAif
MTnT5lVXdaS3cH+cYbIMI+I/ENjtgB0vU9eWOSQ1+blN4RnTjRSfayadz9k4N2hE5GjjikDumIqY
TNbGfKcN0/yxH9ziBqxb9z+8X4z++PZ0f2gUbO//r8AyJJqkljUoXtNVO8BJG99hqNjvZ/Spr1y5
55GSCTngX1gMuJmQIx0v1fdU/3iJcIgGS4b8t4bIa+Z89/Z2Po+UMAkAjDKo3PK90ymP6ed9JQwu
dvrd2S1lvgot+llxDypx1w3rcKWevLbeyaFtkFNKFbXJYXFK+QmijYrtRSEf22qPs7lcExm4AH5h
6wDKp1/FjcD4//gtjrgID60XqAN0HKRT8MhrQi81q9t2aNNPoh5mWh/p7N0Mk1s/qNmrD6iQ95Eu
lbpGu7twOIFUM1HbFJHPFT2HRGSG1zh0zRj9hIlWrg/IqaIwqfprRjjnLGVSKODbTgBZ04Gpte2u
vzaq7IOxkb6QB6F13ocCOn0WDUOPRbvXS5fBVp4t7/0KQ/JIU0v1SfP88RPyJChPFhZtpWhuiWe7
hZoHGz6a/dd8uLYweXKuUVBDTAvOPwPmU3JXXXmzpVZaiG7ieA9mueRO2MEBvK+sboyM0uhvsFLq
I2c01vdv7/kLJwv/JWga2Mxhc/0nwv/1bmxUrw1uxPGgVVSWiaisG7OT14qbi6swQoDUybwWyuHx
F3CbaimMQYyHFPWEuOzH5saZRXHl/F7YU6ChGdNu2EgYJiffGRe+shbbeXJKhDatJP9qL70XO4x+
riQ5F56HlShh0I2CKHcqVyy8xJhsBmiHacUiqp7aMZa4Vl9Z5fxS92lbUH3yByYnpwF24Yfrfk3U
I/wRhWbbiKEO4BhlLWvEIEXeZKt2TSP50qKQ2nmJ1Gj0ZU7yFUmLPm9z6lAN9NN+UEsK1LRp42xe
pntrqtzXvtD0K7j58y8Hawe9CzAixCXulOP9Aciuy6Ey4Zisze9li1BbZzZf8IbIrix0Nsgn+LEI
LDieDv38kxDYtMuylJXpYP3Qj1+FbC3Uoyr0ZMxy0D5kGM0X+7YqvaccqZSHdNC6+O3zdvakkHu3
RgIQRIALZ9OCTqOBCoG8Owxd4Yd9Ya1xbw5WlJNQX9k+Z5uUpcwNJmGBKWLNk2cVuhYozUu6gwym
Mkpmz4jWCaf2f34g8AiI8iAgBaH4j1XXXwFkYmA5BVqdHTxdunuoZa8e7uo7mSYf3l7oHKfCaJBv
Rvdgm0Yienm8ScYKTyBh58nBLEANYa+aei1uVjOyB828NHWEr2hJ+3xdimS/WP7yHCzd8gntruw5
s8axxJ69wTjO7iqvwm1DJb+cZlw2Cmbj2XDZEci4ffs3nx2mbVszsQRYwxmGvnT8kwusHjM78bX7
BUTCdzSoBg0XUzc7pLacnnG0y9yo1bvxX62/COlglDfaC0szsz1e1g0mZEmaJDuUllOjktSrqM3q
bodfd3kNF3XW1dkQMZCJaOsQezeg1/Fis0jmdLJXi7wlL79nUC1e1nqmIjcTBy/3oDTK/HZZl+Re
wCsaI/C1a/VlGNfu1Rh6U3ux0NSx36ksye6KTKvaUDcXt44du3ImFHC0zqJVGmhBlKP3KZFV1T0Z
ikIf/kP5UjxPTg4aQK8g5oW5tixAFCsExYAKDLnD/MdLMPYtqlyP13Zs3QcZNMaGW+ipxDxht8W9
dJLiJek9r46KsRF4rbi51e8HVHVR8G/WMZ6TqXMOwTIsnwKyaSPWOlf8HkZzecVwG/tdQ1LmDHLB
Xy0QxozkEeaB3+p21PS7tEL+hAOR233kZYlThqOhMhWlpls6Eabwze0kdIF1TtLFnBvrR2Xn1abr
UfQPwiwTM0rKqhURlCBnRnoRc6z9CIMJx5o1A8NRzaN/j1Nn8oNRTODsE3dqM0pa+F1ROSyOuC1W
DaxGRqvoqfYyhm3kG90Qd87qPjuiW+VtYK9yjRwbRMHOzVT+2W+KdrgFh+3q+8UoW9wgByXrV1vl
7bADBJd80nQFOrHHj4BHKnSlx7rFLIx33g8Z0JXU+SGCSXDAIACjmlDauRH6Q9N0XM5m+rOESYDr
EL4p6HlpK7aeopLT17KqBixNggE3nmV2tM9WVfh7cx2MLx3SItN+wRL4We+1StuXWVW+xyZt2C+Z
4++LpdLTeEKI9h1v2v5mZIN536nOuzODKdiNyuhfgmmqP1Il2/tgyKuXWs6A6j3v47K2NT8P1ZhP
i2uOQ4TwHlsHWg3K7ov9H2JHBBp9lV89ZMe+tR4Q5B7zvmKPazrNyMas1dfadNN1r/kT3ultmqWf
q1TmP2mcz0Fo5gS4uG69HpKyaulToKINSCj1rTlazD618S+tQGh3yFQ0sVkPfoWBoeUOYTGZ/X/d
1qKCTyt/txxwaoW1aL6ufpp+ZgTb8D8uIBvtrEaILNQwtX83BP2IhdvafWWman63ccz7ygtLCkbz
q/PeyjO/3hVmM4GHLSurisHo5G6UdoZ9GNc8CaJMmOaNsSRGg8xJP9d8rGkRoT0EjLVR5Zf5S0uD
hRS6sHUZtj58rW5Y2lvXa/VyVyFN/70K2u2zN00xw2DolR+6udbxrRsg+FHp+/VyJ2DJgflRev9d
c7vyc78Gsokp+KhQFo2G540FRfFdKbOyD7sFBE3U9WJgpLvm1Rzlxry971mq/K4GkWdGfu0nP7Mi
M+RuxcA4ich3xo8GwaTCoFWMT4lm118d1fX1Hl5U8j7L1tqPEtCKwVMLOvgpSLrlYFaWMYUpeCUT
88ZgdsM6wFI99J18mXcOvvcHSknkMgaRFI8TmdEKG3hiLj7aDZiezh6LT+mMPiVePZks7qlihywn
uXeQVnAWy961HEIVSaNUd4U5uDkMqtl87X0UyCNZmvInfoCOQtEsRcIn6cmJ9gOPFNwEmuzmHTVT
KWOj9dL3HESl366Mqp8GN6uIiQmCBiF24OqdvYhliiseKgiHYRnsqFuEH855Oo37luooDZ0u97vd
nDt4l7SQTsKmmNp550lr7UI5zTlizsJPzNAHqO3uFqIjctpy8G2kgVJjBPqUtxwDRfQN/aAHCAhZ
OfkwtXlhhrkCHhOtMwE20tfKb3ZJZYE6TnPE1Kq0MOwo0FznR2Ln/vuOW0A8jmM+/pzYQi/2qq2I
IDvMQCNh5f1T0S6Y59h9Nj/pvdfwTaXlvi/aUXYxAiAF/WpXK5cbswc1G3uLJ9RjWyI68yjzBVC5
JgxuXkDw7VNQG/WXyWixTM+ztv0qNRMYOn0ApAN6kHNDKPGCgF0DORoChRhwWRfGUkVWlbeSeX7v
HezCEulOEp/jxFyTNFJmACbew2/ty+gbIHi12aEX1m4TNLeC231TlZn+6hJWDxZ2ZHUs6ZY+ga+3
K3Tu6bXcN4upF8Qbu/viirW5yzjtDNjxaShDLW0W7CVKVLYiQGOcd2Um4tn2MYIJdenpN/pC2hGl
02Jw0IbJemnqhs+Slm0qY4xTSzcEaydfu7aw1J482xwwtO+d/7i+23f0cFf71iD29CGvZvoF3Cjv
90rQKn22VdDaoRvkMomDUnCee99bm7jXh+E3w3eXv9Rmv938VoEEZGotJ65bgLEPvvKYljsOnvcx
YPzGv8lzD/dTb5m1355Y+I/NnH/2SIUaXVyv+L0zNi2z9F2ao5+5nwT+QTdLbaz5Zmai/kMOT8/3
nQoaJ0L3UDq3cMe4jpKx070djnd1v+vJ7b/1jl68ZsqefhsasJL9CjJjiaxMA5HgSZj1XTK335VZ
Nj8hXuTYXdfw7aHAm8W+MrnueHeJ5e4MJ13qnVk1eRbnRkvNF3S2ZoU66lsgX9t5frb1JFt29CGE
cWvh80sFWnb9DQYNCyGSWUUXjkhX2GHbtGhqG2vxrLmWYrJjVd7PYc2DLzlaW9+aae3c2GAMVe8l
tIQPuG0BmqpaZCRSvZugQiL+vgtwL9i31kg7o9AS0KJlvmCDqtZKaBEGAZaMGd1W76Bn5ma0ZuBs
zaFb7AgbR2uIJhCDaeS2FoJapdNbDuJHrffFMmv7CYzO/3F2Zs1VK2m6/isV+17VmoeOrrqQ1miD
wWCD4UZhjNE8p1LDrz+PXHVOs7QcXofaV5sAO5WpVOY3vEOa3rbgY7JNQxSIsqepzOOmsJoQQICd
1qBz4f3fQAnhasPqiaOwrrUGrEdMKzeYwwaqftJwrluDK0uYHo33UUVA9EEIT7m38s5q/FrptBFU
kKmnvqLZ9a8eNaSvaufmBpBYe3iXWBqLO3ZCuWl6FZn13JuURy3T1Q+aUWjDxhj7KQxQmpmv7XbO
PuuTjsRF1xvgYT1Rz/qGlmT0K5Otdjf3avZDURPX2xottn2+cNvql01J1fArEsLcb51MnXzgvbgQ
xbk0nhNAOjmnWTIlfhn2TRTg+lpfgzGdii3+Ia6xKS0yk2DoDTa4UWlLkJdzFG+6IglHaPU5FTQ5
6dlDKbXqszK1fRQ4+aJVGVWa8qOIcsA4uQztQxc63Y8itZ1vE5cM+7/r6ZOalACaoG8tLeSLmNra
R7PKhqBI5YuKKLX251i2VXEYaKH9gkSSs3lDIfVDm3g4RViTJwAiAHH9rBTDtMUBgd8xq0lZB04R
gQTwhrKC31oY6LBrdWUS7ORt8sGDckD7bIgyMF/pKOcr6C/Il1AiLd7J2NAeXGXSUUOepXVUp0Y4
AdVM5a5UQd35nRjypyIccFeuVK+o9i2Z0CdLdKoR1HnJJRgKB5jQkOL7dMibrr81e703gr7L4gdL
VIPwMVuoWz9DPvCKTmn6VPZz7GwSpD2+pbErr1srzaiNzZT1fAcyqvWxlAM+B2NYW5kfIeT63e2M
4nYEyKv440gjMej0qFGCziE8T6dJwTEMY0DtgHitEqSWPpob0+1SfW9jJ/ajclD52PbwJL5nOMl7
AddveF3Iys5um9DkDIi7WXSBCk/w+0j94W6Ki979nttJ96sqS5EEWogoI2BWADbBlKM05jvszgTx
ocT60krP+aYLJ28OcTiQioKft+atmWfdTZe6k4u+LjcnWKq5+wElAp0GR3gxdC3QZR+dyVWAesna
qvwBR4A7PUpSBZRwmn7Ke5xMfVOmteRdq9odRXbjZ48QSL1rdCeytk48QQunIO5dkjA5K7suiSHy
L9qiMEafc61jnSmU6FXul6skHuK9GkbiC1VQ7b3ZtvnHocCuxB9Mp8FQKInmxXtkPIS5qB8dM5WB
64TWbUvXlK5haU0XgEcvVYnfK67/ejZY41yY9CjXVrlVIeWc2NK4opQQBZG0egxNR274UGTE8pYW
Wbs2dDEMz8xm3whA8nmtRbtsnrxAHVPtljaFG3RxbWytTpuJ6MRwlZpJu49UFEVdlYTXn5t23DXU
B/5V6Pyvp/G/o+fq478etPvn//DnJ0pSbRLFYvXHf75Pntqqq36J/1l+7P/9s9Mf+ueH+rn8LNrn
Z/H+sV7/y5Mf5Pf/e/zNo3g8+cOWHSqm2/65nT49d30uXgbhSZd/+f/7l397fvktd1P9/I+/nirK
XMtvi5Kq/Ovff3X8+Y+/Xkgo//X77//3X948Fvzc+8f8kQD58exHnh87wU9r3t+p6y2NBXh0FL4o
eQ3Py9943t/h2kJ0A/CteyBdKImUVSvif/zl/B2iPWUSUMw04hGWN/76W1f1y1+pf4cCT7l6gUHg
4Y4HhvHX/322k7f0v2/tb2VffKwQzOn+8deq9sfmBkgEoYumGaRffuVppSQzZ2mXsu72Zj/XWP0k
UTBH9CKw+E4vFJ5eG4oVwIsQ/AzM3NVQZWMi5mml3V4YvXlwyuQB5Ky6nfRxulBlXFVUXyal0ytD
axUw25m0X8y1MHpZ1OF3AfK5U8S0J4eut47idLtKk/onZe6bd7ls64e8N7P7tyts66bWv8aHILdY
pcOOWte6Zhgqej2o3R5p/vEziXVHbURLd/AAw3t0ttI9QUj6JDM9vXK4Va4blYte14lYLzzJUsz7
7Uz595OgwcE6UEBf1ycbWK+9ovN66bJ0mS/mWtxiNDYFdYy1AxSXmWTWruNrODTtDddt8b4M4/gT
/ql9v2D9JJTVUNyhxVhu4lTUG1UM1ZfJypyDHCrvQpFw2QKrx4VhiMqCA2CRwuqqSIggfZ6l4yz2
3tQusZMEoStcIQKoWM5V5WTThQLuK3uS6j6oELwXKRbqqz2JSJQ3iogBe1pou1JHvTAKTZuunNAu
vIsXCdb15FCgA+9i0AgBG3L6qU1UZDy1b9kVajgi6inK9FipqhT0aariAXufcmuTeqY+zAHYtWM7
u59zQwBKLmaj/AAKVs5+4RWipSxnR1/nsmkJTkPNI+2XOSRmQ5hXdpqJHW292diqxGolAVISEg6k
2Qz423Da4sLEztfQgbZrk6mCsgGna57Oq8wTGaEM1e0zKEq+oYBPMlMlCcIZv7y39/Oqds12ZihA
s9gLoiSNLcTpUJ0ivbjPKvZHIpUbwM+W6mslyOywc50PsW2BmS/lJffFVyZIhd/mvdGNtDnHT0eN
J5FYsZuKvT7PWQCipN84DiB2k5Lp7u0JLmt1skdemJzLSQwLGlfu1QTLFmt3IWS7n0Z1wKfT8jYa
0mIX3thro4DmXBAyjooM/rLMv/VHamrb/Vi6zR6khn7nhZZ7CAemeeFtraMtGsd0ucnOLdwDDJgh
q3FabSBXa9Rm73Yu9DCjVbKfUDQg6sZGK79bk6x/htkkzM3AyrcBYs5QYebKVVJ/Qo03e5/2EaBe
M7f6CLTDSGD29nqv0UI8InfeCxSHvbtQyk6XAn5Xwxmolfteaeotdh3lsR4680caVdaB/AHKULy4
wdtKtCmkM/mLH/Qhc/VhY/e9hqHbaF6h/EBHq4rcCyHh+jiEbwm+HhgsIDLDctaMeK0YWggkyAUq
5qwGadt9qmT9zh341MWsKxduzbNraxmO/jG7bpHOsNYsHq8XWtFCbN0PVbJ1tNoKpNHfm7L40mYT
Stb9YqWmYS+qt7t21q7H1rp9+3Wsv7SXJwBJZMHvdTmOV2/DtpJEbRq73EMXK7adNxX7LKYKxhmo
7d8e6pW15ZLhG0O7nG75uqfcgR+v8Yko9gnGMiBrFT/Wcyg8sr3Wm8a5sLbrexiE/wtylWWFWIDa
6uk2q6iROqk+5XvNSQsoaYCzfNFrVLgqt2g+ChKqg9rRdd+men1JZva1wUnBeKNAg8HFrQZ3cQDr
Bdn33jCpZjHvSd+kjtSvKCXbWywGuqDSe+1xsGdPvXDUrE9sJu5wreL8wt7Szxhb0RSaUtWafD83
rvVes+NsB+VafqgjD5mOKpm+JKneXthGZ4PiTgeUCCrakkbhOH662qUmXXSUZn2fDpo8SDb1bmZb
8eWUz2HWFbBjRmvavr2hzlaZQUF80seHOAJGYtnbvx2qpImelsWqvh9F6r5rWzc5tFavHybLoddY
uNo+zcvsaSiV4s+4JJB/IBSyjTnG6K1ycZyOPDSpN9edq++zMY78gi/4nSVa/YLF4bJov19NC9IN
zsGizgHcj1bu6Sh6IadpdGNj70YQv7g+tK1ijM2FVVzjZpfJgPvjP7IfwtY1ExbV3HS0tdTYK10I
4N5NcRQttXrjRJR+AtPq1Ks+n8YDTsv10ekV7brT8576vVD3hSryG4fC+iU079m5BCIMpWSuB0Av
CzXodO7KpGhFCVpp3xZNx/FYUTcZ2w2owub49i46W+Ul9uWw5+5HDeesQNFOdm+LOdb3tFaq61xX
46ORTnL39ihnh58N6Ix++7JvwP+uEVZJQdbXJIxiNBhFd16CNWCSRPu2182DkM4llOjZrKiHYU6A
WyT/oWG3+jaId5pknnFEgzqdHWytcTZTPV+y/Tz7AhkFeQJiNXAsiJOtsodUllEPRCNHDKAaf1az
Zr9ruqJSfZqcyZXdRXg5RzqesqFmXQI7r1NOQJpLzYacD5yDCrT3dIcQVsthsMd8b3UybPxeOHpK
MT5aeorGcMyKiLpfbHRgYumeC7r8dXEJ9rD+QJdHeDn4OLKhSCzL89sBJMxu5tDR8n1GJHLrCro9
dSiKoHXdxodwpV/ALZ2dsoyH5AmzRYuWDbU6ZZPadhWaZvSNEjnsQp2GLO1g+7ObafkuTzPvMLax
OLy9c8++xJdBobrAnVPPZb1Mp50nQxE5ogSdtVGNWlrcaD2gBaNSmgsruha7g2ayTPF/R1uF49gl
8xhVl++b0KuaYJw77Sf9ehiySl1/Ad5faFddPE7fCIDhlQ92Xy8qCHF2Ydbn3yvqS+jwcvzwPyB3
Tl+tBK6hEDIM+xqnB5AHXmBNNo0IrYu3SnaRNXi2kZbPiPMODUJoIOZ6NEOdgO3Xwz5MemdXOpkD
el+75Lx3lh2glAaxk1IQ6plUStYA6lJPMxQnFLkXuL3KIKaStoPgK38g86GAhoGsTgnCSutD3pdu
sgG/ED9mcxlem52p3Osa6HK/MmZn5M7LLpq7nZ9ZJLNcq8gsQ/EDSXa65hjbtjG6YsVeB9oBRGR2
dzIdlAsJyNlHRC6LpBKBL4o0BEirW9VsXAR0akYRLjzhvsLJMZ31CdC1g+9Na3/RlF67MObZzBxO
fEgIAPFgiyEufDqzkdLxUCJouXeJ5B+S0CpvOpBy/8koJr62DLBULFfrl0EHqxR96vdh3XtHywnD
HYYe9oXY53z9wNaSYiK8hwU80mqnc+EkiGnqqP2e3voQKNiWk8lN+k1rceQTXYgPc5MVF6L5VxYQ
+OJy7nHQw61dhQPIB1Wgr6kaCY3qDYo60wYA17x5+6h7ZRSyZuQiUHni/HBWlyadGiz/FEXsa3xs
aVGrTr0LtdT59PYwZycqBxw6ypCEuTQXW7DTFRxkJOK2kiWxgKtsptTsg8ZDLqGoIDy+PdT5jKBa
wi1jLthBknCfDuWO/ZjrodPsp87qcMCy7K1dKU//wSB0eSimadBe1r4usp1zNyphlgzScJGHjcN3
XgTM+89H4XhYdGGo4J+ZnQ8WRqyzMjT7wku9A+oC3X4k37yQyJy/G9D30AOg7AMw5Ss6XbA4tWQz
dBQAFkzDNUX1LEAbT970sm0ubIPzdwNVk9yQNoRFBWBdWtMUY4ojt6z2idZO13mbjXeTMqsXwtvl
aDlJIpbOBWnZot/F8q2vlji0MJUUDpKm0Vgc0EdRnrK+CK9CLRo+Af2aLhwPy446HY/PgrMVvybU
Z0gqThfQWcSHdESn+YZksUfB1/lkVSH0d7vSuisgId5V4UDpHGiOXgiPzt/dydBnWZk+WSU+6cMe
gku8xeCo3YDF1LYxEiUXTorzVcWccIEh69gyEB2sDnS0+UurgPpEeG1X7/Su0L7Tux9BogCZGbxI
/iEg/6WbBc8e4gTKBXBlls30W6ipDJU+NbkA7G/P9pXdaoisoOTnbI0I4l2aqEjPWUWyffubezmK
Tt4mZRrEAF/YOfAB1od9E7bhApVvD0bSANzohiJ/yLOSdjtc9DZII/rzc5KVrq/anGuHURjZuKMT
M94hc0RPfPSi+ZOlWIBByhllt22YuFV0wKWzKD5OjTK5OzOv2g5Yr7Qey3gCz/r2HM6jnqVACNUJ
1XDXpDCy2pGVIZXUGtPmIBSr/WyimhFvjTyzJAduoV9ZLohyP/NiGgAgFLp0Fws5frFSCa8aGX14
oVXP770ScwqSqSkuSxmem2+olGsghloLBxgQ9SrqHZWhRhrOM44wlWnX6Wk+3YVtVD3bvRH9hMNC
rBCXWG76wK9r1E/7DAxQM9ZTCmgwHUD/upWibeEZh7dmHCWxH5qdWoArtrAmeXtBjRdDppNdsYjY
0wr1uFRIwdaBGlJNpaqXernXuUcXyGnrFltTz8TPBv0SZM3ANGXARivT2i5AxocmicZnE8vgHwUY
PWAPtIXNbakOJjoUZQoo3WzSiIIr5xe0dhAhNxRVZOIXU+eIrZrHOjOyTeDf0WDlWWDZfXhdGwS0
8NLMRAvaUmtQeXOz6piNVrbNes2M/LpQnC9pD5ALGPpXpJKcCRXCHMPuzlV2SYs3pQ8sk2KHleCI
gdSdqoClkqZxl7n1nPtWNaNgFIU64Ar0BRdR2tTWe3aEU4a+bc3w0ifUKuC0VoTPwVTryUdWvv/U
mwaO0oo6l09gdoajJ6lKBbPXdun1uCANbpE6UEdU8ocBD2OC4o8VGX2PbJQVfTS1Al9zBaKqcS2m
FtuVLMuirSbr4mGYqO37rUSx15+lBFxQpVV8k2swaH2mbRQ7JITCvcQkERW5WBvRVSgBw+N+piKx
tbGdWU/fLQXSdpMa2hQfwIfH9ftWmthEcqpkCVFJ4z72dasi8YdqNIBbGdVWvDW7BnxW1ArXDAYz
yr/12PteN+5AGQ4kZjMfotlpkfpyXfQDBwDiO0+fzTsYhp3l43uafUGDRXlUAHE/Y8BBOVgjZz9O
oRDRfs7BcG1bOqWD70RlfZ9LMFBwNcC3bvVEuIiXOE6e7ww7th+UcJyKX44sDcwo9QRI135B1gcL
YKh5RItoVoFh9Yr7ZAPSe8hHlE13vZMXzV6Mbq6+syfpOkcOck8EExUMERSgcOg1pTLT+N4Tzz3E
SV+1P0MMM6egMYRi7qOxBBbVDnYO0HMU4kNbdJrcZUWmv58zYzL9LDWcyO+0po0O6hwX4TsJAkpu
qqQGQ6cBUB79hK64i7pUP3U+isaJ5Y/2ZHxWUyvpUT42tFs1sjUBXrxIAGShvfKgT5mK9KYHRtTs
Q/UzgPwY7xa9SxT2fyE/R9weuDmjsRj6YS/EsLOzPGkDvU6WxU0IoVBi80oTl+6o/RmFnvK9Vivl
Z5yXDnqF4T2Zo1+ao5sGYMyMrQ1yGbLjEM+3PQrVnt9YqQuUCIO9d2U7lzsbpd1hAxCyN4DtWM29
1g5zyaJbHYi/KbE/9ShQI0LjaeEeHh0gRUUdPFjisUtiTSQyOT6w0uxzm2ntIho+1e9mI/Wy7VDF
6bQlkAxLpLhCFz2bpO/mQFPz8QirIbR9oUYTxgz9FCn08qt59qMGResuNdI7dlr6MYuUqgu43kCQ
1rKiEFWRWj5mbRqWG6NjV6E/omnfx2pwPL+ttOkjggiWFkwASm3g4kPC0RRZ8XUVunLaRUkeRxsz
a1WAgJobA4ifIzymOoDa9c6LM+seIRphbNRaUx7wW61BcupVHzhqax7NqOibYLAq4L1hVVicV9yf
VKbQGd07buggUaouF2Bj69MHMeppsldIJ8eNpjrZoWnKrPyc2/PQbho9QR9okiLytmhze/Ze2q3d
brWimOxtWoFN+WwPReH6GfZF8wY310YBq99q96gGcRkrg1EbSKcU3hYAsS53nszKwZ+Bx3SbzqF6
yOqOM0LAXT9Td41G+Z7tqzubzFCH2qcEHFpXfK/TcD3SIP+qV4p4Wshujt/FlvPDSTIkNAHLz59z
tQBw76Wy/WrOpjX4IPyy3tfGcVQQvDSKZxX9MZ1PIgJf7PE2lSC3ZrHJ0Gsq6LRb7VPCLBwfpbC8
WETaqPL1E4TpbeY1yKc1SYqeAzod892UJMCrdbZeuZEAZOcNqD/kQ9O4V+tNy3fS+4BU1IccAQzj
JtHGLNooE1qbm9iRtrPl3te1zdh3PGioxTWQ6NLIPy4afjpadlVyIwCB2xvAzalASXWhBkuqVteD
WxKalWiGpgEs8sZ+PyYa9hB+lAp00+bYZgJu0hiHNopDrKrGrABEPJRY5IqQgzgw6oHiu1N0OJ0a
wtCvvFrVPtna5DzNuWeAM091kSG0nFnZbuhiJMyHUnO6+8IujOnOKGw5bV388AT3QOf+Kgwv+sLJ
bqgB+v9gTcH9yk8d9RdCN/ROYjq8oSE3KZohRkBpS3tndm4rg6GII2ygRo4W3GRdLtwsGjnjikTo
v7CpR8PCiLzsSHjhpNtarXNth/xqh7yVJ+FwIK9RmNtspFcdeDZqbohaZf22q9G3uzZFyE05jiGe
nM0cmz9qKy0lim2cdB9VoapfaYiUzs7L0b8OxqyCX1EBlEkPqDSV/a7mlpebXnaG+t5wwWMiVq30
5ru4NIr5ANVc1S/kUC/GYr8FPEjkA7WgoI58J9ph4C5Oo+9+cgR8kdk8onjfv+d0KxxaeW0M3aQx
tTDIGiqyPm0u4fHZtE1O5FH1x0VV5A4pQ8PZmGNNrAHth7gtAXWhQalw3fdTnUTeJjGQYIFlnjs/
WsW1y12ReuMHhJDqAsUjj1vs7QhulXn+azpLtwetJ5yC1kIV3pgCyMMb8CissN9bdjteKWIwLtQe
VunYyyhg5gi9wdwherIqtFklCo9mU9tHNSdEMIehCtDCjY+uN1xqpL8yFPmYRfuaTNoGXXD6fqQy
Ds6YRDbGabQ9Fn4EhcqOzteVZRLQv716rw5G9dSjQrnQK1e5n2ykBmGisI9kz3qQ9oO2B8nNYQEC
+UKa+epQzAr0DZhca901wp/NlFMl7KOrjy3xFrqXuYUdMMfLJZr58tSrLY49COV3tjkl7zWCrm6M
Vp8bxzxCVcjuZ2hVBy3RlQlVhijeKZddWFaFgmV7oMwKaHCxIGZ2q3fGNZg5CvWW45hPDwRPW5F1
9wqN3E6kv4aRnMybIEm9/e5eHxS+PlEHucS65jK0npsDy7OOoerG183cyS12x94WBpS97SOF2DZR
1eEA2P4SpumVjw6mOXAmz6JIhr3U6R71ENFHPqq2jkPGPrFF1+5zy5kvTPB8xyzVS2wWoLhThnH1
01GkVBCpKeV8LMMl2nEa9dtSjYHB4F36vs8nZHASIra0fAO0YpdH+a0kgQR6meGUNQJqJGkyIbbu
XCG/vv3CXpkPBrLUYtGMW2C4q/lMc5LXemeKo8jq8iauPZ0qJk7nHUoLF6CQ60Y4O9JA9RKoHz2I
pca82pGhamb1VLv9UcJUvQqhZFyh/Gd+byuhXI2dMoKyj5xAd2S1db3IO+Sm1995RdYfxWhjligK
68IBcL5fWVsXCC+QDuys16VieGSz1KawPRZ2BsvLULSH0lagsS364vnszFc0r/PrPHOtP95IdKSo
88O25wGgF63erlZGhphqeSSwRIZtanro6wicurNa799+x+cbCcwug7x0F4Ghrg7UuqzQbHd786iO
OnE/EIUNYfals/SMoo74AbVpi6OULjxNoNUH2HkizOqGb9/LAcZEEexo21agcaYonVDm0o8U7N2A
4ER/slsZbr0Qsow599WV6vVZMGhttCdxRwl1jJVNbA3J/Tighm5PU7yzjC7cz7VW+6WdYBGEKcJW
U5Uy+vP3suhGAG2nrAtuYzULitFJrBqJeexaW72vtZ5UVKReDCc1v3SYLBv+tzthKTouACbOZpq/
6C2tPj7NaHTNGmUDDNOuAsuNtM8NXB4/p8u9R+MadlGcD8MF1+LVdqAmDiKFfjoNdVSKUJY63Xlj
UZGYKV564O5ztj3d8MDyID/90aZbRnlhCHB80XOFc306imPF45jpDprD5aCBeSarOgAO0csL46zL
j5wqQGdNgJnA4zn112aCQ4PsqweV7xgD1E/2kObULphbQxdXoS7jR5n0yvcJpgt2F+jjfTDIcbTA
xFCpwo1V9mkwUZykwMr1/IsOUXjJ1mS13ssDLnpi9AspZpPcrt4ybh1pOlM6OJo9tghQ34ygnMzy
8Efr/TKKS2+Swg9IYhBNp+tdF1Qp3eX6Q34qgtQdGhur6C9hDM/ngqwV5yVnOBBOepSno6Rj7cLG
741jK93vIAjo8KKXBhDk7cmc30qEfipSxQ4zoZu8+gjn1tOkPUfGsUo79Y78Bafe2koOTV/p27eH
em1GNI8Xe1wCdppFpzMylXyk+ElKAz5AHq1Um3aAlfTN26O8NiHsQRZBGtTy3LWaaVtLN4HgrB8L
rbBusJweP1oTtERAS/0FiMeyNr8dKmwEMF3EzYD2aGcw3OmERKLDPEQeA4TOELub1oWHa47GeDDN
WMDpDtF/NfoapQrRleLP5wlBhb0Ofp4obB27g9MRelyR+SS4xL8rZd5sXEudruzeuhTvvbKkxCvu
kjJS9DgLqNWsMyG6mMxzppxmaG0IjdWk3JlVl8y7X9kjhLSoJnGkMZK6PMpvkZjT6EM715F+BIKe
HjTZRkGtRP/BHsFwCeE0vq4FdLU6l/OwMQ3Ik8YxKvt8x+TCYJSq3Ojor174vl6ZEENBGyT4AGKw
bq8ho+86PeHacdJLypeOixJ+FV7SI3vlDS26haSmTIlUbrVsZhHht13mbHo4DjdUo2YUDur+E2f5
pX7h6iZdNj1D8Q2ToXLGrrOrMvbGpMuEfuztIb1NKBhneBlZg3Ec7SJCd6Ud75MKnZgLuIlXx9WW
VACoAeJyy0L/tjPUfM7oDLX6sazjby3V8UUTZO+NyCSjiuar0r3744MERJy+RAuAHbEUOx1wtBAG
cMJU5zLxaGR5CW0qsOzberjkdvzK22M3LrnUsu/NNXYeu4e8S/PEOOpxr92ilgLVu3L6D1QF/xCe
haARXXp4rAumHFeaF02q31bRGUIXVAo3pD5EI6DiuXvfebNy4WA8e1fLKAB9+bYYBwTW6dK5rdKI
KWfTx6WOeZIzNfVH4ShIL5sl3mZYaRYW2Xicf3v7la1ZCIvisgZ6c5G9ZFw+q9OBNT13ilLG1VFI
6UgfJ6/4zsUX/V4x8ZXYZlbnUm6VWnoQ+NDam0KtEEN3YxlRuETDvti+/UBnXz8FiEXpk01rsnXX
iWXFIad6c18eZZPPQdWUyd0wGpfU5pblPLmHGAXQClRQUCL0MJfX8dtLVcbQsqNpqI65sThFUNo8
TGMV7vDzus/TUd398aS4BuCk2i/E0zX2zkWpabbMuTgKEcOQrBHcQGfuj3WXgWgSyIFIMCkDYBB5
Mqm3nxiO9tldvUi6suHhq6rUJNcZsWsXWhoi4XxohGV86bDc8/wYo4/nXmbNM8X0uQK6ZENppFPS
Cb9AeRuLUBoCH7toUFBU0az7ATboL2u0tSJQ0xGSfpkMY7jlqnK6fWwo1qYu0ZigwW3ip+hZkj5Q
HWs9cgOzarzvpmoqN1lSdp88SaMqaIY8LhGVUCdK4U1ZXxmVDUusRuO997GrQYYArZBFrWBEHQ4p
mowavBfFhbqP7KoKt+3c6CGKQuP0ODpIyQZJp2AaWZU91j3tkLc0Kuk+PtYCj61rJ5yxhPY0U2LI
gL5Yi0RNqP20UqfPtl0f11+iHGpLkKa0+H0Z5sZDJYa9TJJJxVjNEO4uyd2x3AzDZH2qAWDmAcQq
ga1bplrgETQl3zRFUWyHFE+qTyMoD7CYrosSVD/l6DTpfUQDA418+RlSrRvv1MRpkDHGftsIJiCH
x9mkYrGf4jb+VPZAFjYEevHNaOMNt83Rk2n4HaXxVGQoUmQSLRyrhw4TZR1SpmEeQmxElnkK5gwn
plmDLezHSZ2VG9r2Di3qvjHeN46CnYMGtq/x1bStP3cdwjOQIdPx6xxX4taKFdPZKmmqA4COJuwK
atOuf1aROd/GYTW6Pt9Yj/saBkGC9mJZJRsqLsAraD5SG5+nOQ99IbPpoMTaIPGONb0AVbYcgzRl
fG+kM16vac9Db1xC/JZ0yXK+eZEjaU7D8hmvMq+QLT1csAQbQov8nYIUWLyr69D5PDqKfo9iICWa
rBP9V2+wpnTrikFHLz7Nn0MB0mHTJVb0PTJxJqW5nw4da4Tz+qaWjrIwHhCiCLB/pc8RcmKmfjwI
5wiNTVNY1jj7EuHL/VPPBzI8QGquuQXqIfGRNgV70mZLB7VIiT4hBVc/K7SL402qJrjIh2R6B+S6
3SfLmPtrROFkvUGebcbMcFFWQOfQM4etVDFq8DEER8Tbbl2c6LN6DKnRekpEWQKJD3YVGiZ5gIqx
/oM0eky2LV3njh8SDSuJFJBGC69urkQ427M/WXVxPRptpQeVZriP7tw1t8KjE1PJPBkoZoyZRcED
nvK2Q2Oi2JRGGX9VI29+p+klvY9YicTtZMfNV/AEoBiHPAGsEfX9yBOVo1n7eC1Oz046e/H1VFed
Se88yo40xdA9I8+yaatJY0RRoRiib3GiWk+VF7k0HXUVoZ4qLopNJ2jO0UWOUeMtbKUDlceN9aB4
3oxRQNj8LLukvU30VN4X3OMDJnspRgBVJt6PDbRn30uasQmiZHS+enDCbdRwABxhAdkWLbbFcfrs
YC5v7itTLfTrOpznr7hbKmhYoUWVBdVYgoSIhOc+FRj/FVt7rt2jjU9BephHdX5CkoxmstqMVeYb
lGc+TrM9/hxKg1Y/qKLmqc8EVTw0EvE81pLmpirRKtmaRqt+mHCbjbc0RefPFio5Cqk+7aStNrRa
7jfRXP7s4DbEgWMpWb23hoi+cykACQW1TdkRYBiObmo7xJavdOCTjk6OL0ZQRXZrbEyx6FxG4SSk
b0tU2HxhdotkVZ+Uuj9lnUO7D7on3prZ5H7Q2dEt56fVtQENFDEDTTGnD4gtVQcDPbZ8oajn1maE
I3tLcxeViwRwgrWbFeZzHTmJ+6RXKncB7TnKCZPpFoZvqzk7RbcaB8XpqG+K7SxRs/IGLJ43mZI1
2qGyTWYxz038MzIgWPsmujVtoFnEHAHV+qYO3CKGUK0bpf5Frxt+eSgs99byUKkJEHyKWt9VQ77v
OC7nHdiXRSu5GePHpkvUJzyea1wivCR670WqhceioizvRhmmBcdmdsammSNvDKqua0KasGkZbmsQ
nPqXqM7wM4cRan9tBgAKB9oyjep7qrS/4tI1cLtQQ6L/PLvlr7bLQ0ThuNJiUEKtlewmlAlnn052
+c2FvnXdFJrMN31lEQyY+BJgYVPa6IwpGlo4h7Zqq6dcdxK2HkoS36qhzKPA7jsghanmCWvvFLlm
+aA75pvUnpzHCcWfZC9HzdzmOf5bG2nNdCZj2t4o1aVK99gCOUHJrbPwD80s5XsKdRBpxsiyD3YE
WCyYhjR9FqrCR0i3ICoRSsoa5wAyJ3oe+6R5+D/cndly3MbWpV+o4QCQGG8B1Mx5kEjeICiRwjwk
ZuTT91fy6T8kWm3GuevomxM+tmVUFYDMnXuv9S34gbUdpCjpGOIBUQCSlDeMQoui7LRw1evpGUUB
X2JAsJZENC6JlMikqU2nyV1sNo506tuHUqaOuaffKrTIakkGjfqVDxia2lyWoVV3nbvTlgmrL5oQ
hfDOs+Q1fbMSNKRPFlqQzOukH7puQeEUNpNVmAdOP4MfOq70RNisxqg/OLORTfu+UEURFRDQ3hYD
NW+Q1Sk3Vk/ExEmcaKSveZX3YqeXE7iDfGVjI9i9Z+SM4ie+y2zkC+syuO9kGi7vsU28X9BLG6pf
Xbo9cEGGwjERcKuQIZ2VzAtGlIVfaWqYt2brLk98iPUJ48R6Bz2m+IGgwH8HScSDNjCoP03gD+NA
a4Dgjc4ys2KW6bOGYOKHMXtqpvtxninPWaa5kbbk8fsc98Vj0Qj7FvWid6vGJaG6yRt9OJatNe/d
EVIdiEBS98CiwbaISEUDr5OlZONGKC4R2w1ap3sB3RHxIutxzS6zou/uWaXgpDWTQ/hP1jKo3ZBK
NxD/PI3qbaCf1u/QS08Nzv+u9oOqB8MYgeST8W50cgtxxZy249aQfu3srLUwr3iF4zlivpDnG4a+
65s/1U66A91nafD/qvlRHxISdgdPTUaYW257I+0ye8njhE9ZGiJGqGfKooPHA6MXu/CcOcHK5v9F
85EBRt5C480ZC3DlZL5Uczh0SHi2LC4kxfXVfFFbYvzeDYgB+Ror8fVzdQ6UA6INKlL4y5IGWeXF
Ovs8GOF5NpUI47nuc+rA89vCII9SsaZNTG4m2K0+8Mo+uZXSnpCXDKVz4/Hsp0HRAQ4AdlVQaupE
k7cRJWE2bcFX+VNEPjHZdhBjUfWc1Tf3A0FF2Igcu4GYp5fZj5Ejg36gdIXkJlO57L2p/64vcCtz
K8kgduWc/UjJXXc9BedDXzmw+2Ib0U6weHZzVUCvAwPWW+6ltK2EHyk3Mzei96YDB/UGR4YYSUUc
KmPJrmBFCBqI4wg+bVZuO4aWKeP5C97H9EUnmelS6XnzbSI470qjbH0z/FIYRLWDlojKBolQ2JQG
CQH+qkDkOry2OeBNjbuaVRWkMwHVE3oZcFowXCAC38AWmg8JWvEOBlI7HWEAOlcT+9y6cZX0rpZ4
NNAxFjmkJNSuA/U9Sp14S6TxWKEByf0nZZRVduyKhrslPHbQaBq1SUb0oYz55CulmxH4bBbZWUu1
tzWZ4Zi5NH3tpirFUXLwnSKZ1+38qEHPuhdjAuautUyLXF9DWV4wc0O+Uyy4+CWTnqy7Hv7ZtF2c
pL/OdDF9j/W0aQOv9XvmO2poL62BjNzQmqTrhIO0EWuOM9K4cJEdtd6Q5y1azNzK5aYtc+Uh8fDT
/WLE+QXSRRPhX4ZqOaxcPf9e2Kb2bCGoouSlruOpfG1q436sfTcsV/OklcOzFPNe5itgho7/Sdol
IiuSxz0lbdV2u5vWVlvbAhGG3H4dtO2Kw+kR7B6+cwW8HcCJ7NiTZTm/Ykq57Px5fC7GrtukaGsp
AvmrsvfvbSqB61zPzWckqqSXqoS573YkYf1WQ6BE+nziXUEKsDfd1G8Kt4lUMdwKWLoBQlQbqdSU
Gxu6FSjWcnlsZ/ee6EYnspdqO/uWhKjJOxeiBOcQpdkXCH+OS5dt9HpACBxXV8LF6dzFRRnaiHIt
pOGhMRMXHrvWtdlLRKBEt74Ysak27lInD5WWuhzZiFuvs06/gVbr3xijO4CaNbPj6jfH3B0AFWeW
ezNq4xiJQjRB1lX+V89CD9XGD4JGQJTJWF34oHHv1rRuIl2+almUDct8O5vOVY4ITKpsP7E+nv3m
zEChoOivwCsDOxmvZ1W8xiai0HkCJzCSYuZooSs7IlnzwEudg5aae4io166rIqcZ7/TkEg1plOfJ
t4RTYlEcdGMElCfnh1J3o0mVLYKoCVCj+wDJcKPBcKb2C0cwCTP98WStw1SIAKUGLeUod7InpU7u
BDtocuGFamWy1dA1BBw/onRRmzK9AJnoR4PI6g3jURXFPh7VlltAb3SiFliGG6Ko6EoaibtdK0i3
qi5Omqj6zWC0b+7K0UJjeHQBpzn+yo7Pm4Ag25RbI285NztGuu7scoHM7QB/iod9narIYk8jtI5N
QJY3edF+60Sx8eIxC/1psG4yaV9U6fqWlZWKVs2dNg7Wrp0/yLuKGNUHvc3M0zT2+rdRrsMBkZwX
OSodwmKGobyQEZ25HhHfs33rYHWKKg13SV7epY7QTl3e1vBZxbNBwRqmKLNhbTYd4YXLJeby/lqX
nf/ddZtXQTMvMuBwbwDssZh35aWspp3HPkvmtlqDsctemCd0p0QuVVh53d7Rm3tT5HcrKwNixTlY
pHMAJfRtNbMHIb+QCvtGPtx2EMax9XQkneRLr8bOyrw7ia291JNH3VMxMj58EJPDKYZVwQfwEbWa
v696/lGLLqANhtV7KVLx7FvWS1qKr4Kup4neH2i2kyZwAUiYDBBlPq4LdjwGw3bVPppW8t3t2+Q9
ybclS6/pFOxfRUz01Pq8qLK+ZbCI9L15SrR2vUKuvdxbdeqejAJWvNMbIe/vrnBcWtMFxbrdHzqj
pYyremCNUyvvRIMs2XSr4QgDe88CjQKhLHTo4Ql8xXzx3jnSsb7YZLSKKomafNjaFD6B1abbYWi3
TTq85JnfhmfRnM3JMb6gUm7erMzx36bYy+9582UAzIbprDE9xRzBt4svLkuR3Bcm4CNNT5ar2Gls
ApdVoZNuoKWbLEf8T5l/WjT3ajGtUCAlJMP9pbb6bDuklcxD6akbtrUtgWhXVjbvO0r6EdEeiXFL
YNe1eXDTRUa+txg/Fl9lYC59HC9ym87zNc/Kt7V57Gr6IFJ7aJOSyr+zHgdPXCda7KKdahedD9ee
rOWw5BZBMb7OgGE0RudoiEYcfeuF51xFyOZFDfqf7Qnrin3APXEry7wqgo5GCzTKwTiasgeq2ma5
H8aeQBwlQSHEVbJOkV+JceeXTSKYweRy2Zp9vc+rrnbZaQyfClgf6Lfo9BxC0KN0x5KJEmrLVlse
AJd38LOlpusHj7zaDairNL/z9aWsLnWol9q9VXa4xAKksI7+zLLWu6HRuUI7dGVT9tdpKYevDVJc
ftCl7Z0r2oW5tp2r2uwfVjJ86Y+oVh5GOhjlBsMQjuIGcPO4YzyXoMXlbzS4SN10/t4xPMFW0Os8
mKVvo7Gu2xaIXBuXXv04cye6b8Q5k4a08ANF1jhn3yyzXbUtf5yFnHZZvOX8VWmbvECYsUnzHt24
BwMUjea4gJ6E0N/W26LomnfssRrYf6c292h5DLooaOzf69lhyxsGMA67qW6HL6S1Z9/8WmRfRZ2P
bpDLiQzVme70k0pm945tAL/EDOT7lb6KKUJaKosTFLT3HwYyLisyCmUyXfBDtewXpSitkEiL+mZO
BfcMWZW1HkoTe1Wkj02eXNMMjQljJpXkPk29Aa5Jmm44+c/lwez9kfOtbACQLbRLpxCIXDFvTdae
77BiJf9ptRCH6hiLbfCS9e29OVfZ1eg49ibRWxaxKl+uJO2MLXRn+WxiZGr31ozZYZsScULboXHo
62sDdSb5GbyBobBXRc4xeihau2qabwhZzL6jxMZRsmZ6wSnTM9KeHT/rKXbHsX7WepiygbLO78Cq
vPaJ++gU0TCMPrYDkU0oZJWQ39wuhv7aF55bcGsqalhfliTxyV5DF8uwgbYTzz+7ZGGM7Re2hPLd
XTM0w50pUb0bpVlcKhfIX5QOpejfraVzaJzZAlyviYUFp9y4fC+HIjWCYiV/Ikicqr1JVQwzNe/q
dmT/qn12cL+LH6Cxzs/GWsdxZE6O+VZZtClCsshXGa5NOVdRWTu6sc/0wZvx6JTFXa/cy4SW62s+
kq57LUoljwRjxAv7pEcAhexdQqlVRiuV1S/LaEjHQns/57A8i2IVF0YqFm2jLzr1mdcVrbHpCNDt
8UM46i6rVu1+6jK/CsfZaumwG0BDgtbNjK/OqNx7P65lvTWNcrotY7TPQZUb/bOZOu1j26nq3o6J
5CORQVKciSFpwfb36qyqjEssFjoOrl0js7n8xIT5z+GNZyGUPhvtTOYqH0e38IxsQm3i4WAtGsGL
az1eK8vpP7nKP2dWnIrQ6cFKOCMDQBj+Nuj4X2W2rlOid/ph1Vpj2lG6O7d+3jx1SBc2WOSMzbo4
8d5sfXGP1q8kGYMQSkHM+SdznX+MIfGKox4SzNBQrjFH+/2D5LXXUBmXSHS7tHDIel9oGtZaO18o
O3U/+dr/nFk5Zw0pyijm/ab3cYxMUqhRFND3Di3tvB2BbOpxZgvZrI7Nm9/azsMnI6DzTP/3IRl3
k5uJZu4M9vyolzVGni+Os+PBK/y4/270lvMKMA/5W92WA23I0SCSuMqslcbwlNvzzufNgWYNLnH3
75/lHw8W8ywYfWc9GnRNBq6//9CjnCeXOAT7YE5Wy2WWfkfYxn+d4YjSBswxOUuIoRmkne/AL1NB
o8vsZrUNxS/cTzu/LsoLsgE+0yL+Y9R7vgp5a4zV0PqD4vj9KrNXSnI3YnWIpWNcuRz79tIhmsJB
TsRxKxm3IrazT7QAf3hScSIi2CUHD27OR/AFwi4b46arDn3mMyhjR2N4BPAD6Yj65KX4w70667CI
HkIpctYu/f79CPDpOjF66rCYlXo3hlZcJZ7Vf/JE/OlXBPYK4I1X76wr+/0qXkyzrFO6OjhWIa7x
VDpnAvaUbseha7aV4CipJ7hz/v05/ClH/e2d4AudCSLo+Yj1YHj8+2XtVK6dRr7pgYlVCkgxXqkw
HYjRb3RjYe6vQDDG8zhrebTFvH5d6Zo652ORX9A668XCSGI+l9F6YV2QwqDRzJWEwWN+O9uu/v3T
/uE3QkCDGAMiJMeFjyqJxXM73V9m9OAzHS9LwpRthjLqlDZEerYg4GyRwP77Nf+xSjHkPlPR0I5y
+/WPxo+sxAnYMBU+pEzYejMrokrkzOXS/Klm/PvvF/vTF6RQOqObWaGIc/v9bkhPzhkVl36oxQrg
rkkmiGySmJXN7Kb6XY3z7kGtmfH675f9w8uEiB98JS5oMAAfVZ2p5S+4iV06d0NZnGIb9URdcTpo
7E8N7H+4FEIXiHOAe87SxvMv8MuS5JD0ZBvSXA6WT46F9Cd80SJxx0NV18UnWpA/XYt3lgw+DN7o
Xc7//JdreSmJaRh91cEfrPbZtFcGqYJmUlCWq/+JzvcPjwkAYDg/CPwBLfkfFkFq+NTq7ZFFsHFI
HqBCg5/rVcUx4XYSW4LY5pNn5Q/LEhZquIxsaGe07Icr9mzTi35eAYuY9KnaKnVaLZW4+/dH408L
BAArpJQmKx/6kg/qUGKPkZkbfLEC0OJ3xdN7jUuKUfuQNuZXzZn0yyrDJowitr712UxPDHed16VC
hRiYIlsuCG9aNmMWI6agZZjsmDuvn9zpP/0WcO+o/nHhIH/58CH7rG7ajhyPg4UwLepV30TDOIyf
LAV/usoZrMuPcJbJfkTDzMnqL1Pnk+2kPHNXZUxJpJF8pi3+01PrAz1CMejAJPI+aLnTimCQKe7U
YXWVtjcri3QwJjIc+xGX/Ly5/4He3/y9zn+g7H/4v/+fQvd5WH95zs9Q/9+g+/dZnby2Tff+K3X/
55/5D3Vft/46S2pZ9tFr4izkJvxN3UdQ9hf+IARthLObLJU8av+h7ht//YQ84y5llHkuS3h+/kPd
N/4CHiOADeB7g6wHhvq/ge7/xNz8smkjjP1JzWMRZZ/wvI/v5JJRorJt1ztZx8X3lDgcrP4WpzO1
MFY1nS+ms1avAweNHB2FWEnFiifs91XRTYHd90PP0SsG3Rh7a3Kw5y7d9IWvyNp2R6x55eoSEocz
0N3Cv7leTDThQZfoeaSXtFKCDj3uFBIqUV93ZadukKTkzLlGv7wlHkl7NEmBvs/QcGaBMgpvDRDA
XesNI3ACUuhMhnGsdoZOvl5As9f5CkPfIxwxmRIRSLoZNA3cgnFaBbYdKLnRhmUh1WGapP4J3+en
tv33X5KgZvBxVOJYUIDr/r5FkE7jQk4rm92i7L0T6+TfMeU+eD1Ciqp2mK1Wa7XtOMCENG6nYznn
l3G+PFvVuW2ZzK/LoAGAsf36qrPEyYmH8iJV5XuT2P6m98WtUDEJYA2qHmtq1aWaRA6RIRtXqNSM
HcCN0IWJLfXJ2eqD1o0n5BxADSNG/ES1fXxCHAM1x6LPza6etW8ECASaW9JspB0YGqn2kNcEHMWF
/ET0+WET/Puq5+ec6gxr8kcXpJ2meZlbS4PRfyLNNM/FNitiLUDJZAWx0j8zSHwol35eDwI54Jaz
0JRu0+93r2MUuDB5aXarZa43GmfoC2QZMjJQlRBpprpLdzGXT37aD+vzPy56/hF+qSoaGpWYyLyG
xn6qw3GRZKYUMUd0lbvbXxal/yzPv6ZrfNx8/76WZXqc3qiahPNBpV7rU4t2yG+5jSszMXFO/hLH
XiRH5edGtDLGR5TiJ1vll1cF0JEw5eD63W3ZBatUM2mTVc1lrajEHTl+hnH60+2Gbcjh6By3Dbj4
918C4Ew5Ji4JSKP31en67DR0Sh1MP6cJ3TX/Xbnz86eAonsuG0FKgjP7/WJtgsCszXlTvVilB57A
ZMu89jMz+Z+eKMw2UDJhzf6Tdd2tcW91Y9/sJsjThy5PBgLy2nVXVsUU2otLvhQawc2/3+YPdcXf
X+2nUfkMC+W6v381B2VjMQi+2oxyBTRyNkSNno+fPEz2uXD4fa2Don3uZTEtx0308XBB8EYBH9Np
dql7SMY7rzvEnU5CoL9pGgNkW7uZq7u53iMmYUCFpMUNhzaPfO2Hrm2Nzt9qVU9X+HGthqBuxFaV
m8V4m030gw31H+OljAS2Nd+C1IjQvsTC2XdiUyb9SepvWCw2eD9pi79W9Apmkq9KF9/dyyA3qX+I
S2ygdmAzUylrY9fEtyKhfz2tF109BIM5h1Vlh4Vqie0iOnKYN3aTbRMAEoB6PrOLmh86RdwR9kbs
3K7JWRPN6Yd6svN7X4MEJnc5BMUtWWIpsjLbvq1zJ9/kLeAlKaTaNoLFHzO5EdTePO4HDjwb2666
g45u8CqbBrmLtVXfyRyCjpbIV6DJXlCDvtmi5Ok/e3j/+LEpgelucVylLPiwNDklJkP4e8Q/eCHR
wVYanvfl7+6j+FFdOE3Qbpxw+UqeXk/kJQqFnXN36/x9EPqvasp/jWj6Ldrp/xr5dL7e/yRA/b8R
5MTB9Jf3+h815Zfsfahfq98qyvOf+D8Vpf/X2ZUAP4KlBXPiLxWl+ZdBHcl+6XCqwAXyPxWlKf4S
+GKNc0Y4nQeaXf9TUXp/gRnAtwSEBvLFz/Sn/yLGycS8+WF1OJ9cYeMZ9KCohWgK/b4IuWOVEl3s
tfsWu/LShoYsTPXYAK1pL9Ec2fP1uNh192Vu+0VcVXKtiZEA4JLqjIv1vuyMwBkS19iJtE39U2qP
3Vvr4RG4ZRRX4EDvGIG9uHHWale+N4PwTuMuZz7rm8lQX0wzVnaAZHHZfENE7I8buWYQIkjf0xOi
CGEQYWbulmqj5ypOjmTstjdePFXXvttr8y4b+84garpcvvG2Ffe2s2YzFTH68R8jFAR3gzKAgRqF
S1JdDwOuJsAucOoCMfJVn4ymdafHVmR6tvNqPE0oQkpz9I6mW4KRgjemkSRikpLaPzBebdpDx47I
gNWp5Be0QI69b0SmnD3oqri9cHq3Lw5p6jSgeac5vQesU8eHSUchvXNn02vPqD6pQgTyXnzK46mw
CEHtW7PZxencL99GpAtTAGxIrfts8dFKKK0s/I1lF5a2XRp3ubHQFnoXmkaXY+cOnd5sGL4QR7HW
C/Nj4nshvM2rrqy7yXQYyPTp7H61ajNVJ8tu8pEhurWifcPZvYY2aMGWoqFLE2I0BzkekLd16d6u
PfRmddw3VVjHs8+PPJF8EbScGtKLIa/cNKy1BB5PA1QGiUED95MZZkfn4Fg51Pah07jzuMEJMyOj
zxYOKeT92BVjXA2dvlf5ygo8vRAkG5KRPHyFjdu+63asMibO/YzrdTRboufQmWu7XKwGgdyxMI23
pkeZszUM2vkRdlBy7/upYSQoy2ReDjgdzHhDKBTJtgT8tHMI4d2CNEBkMNuJkaevyUSwFgNxU70u
aWVhGkBSmn5pkPGYgauW9Eu2orgKOur6bqsj/6pOKQKjC4la037u83n9ZgwobQ6VSNCCI+/O0xdr
KAqeVsQ6FXPyPkf8quKx2XaL09ynPdnLlwOxqvWbtBKjf8/rpmoObZomamtoTdkcgc3o1tFjnI3U
w7Xl/UTeM/S0ztLzXUY467CBkoq8vlRNTd6Isbg2wiECsq+QRFrzF2u2Yu9kV33ZH8gwUa+AkRQo
S1Omxm7RvVicRM1AdjusU0OKegl18EIxB16vp64jKXTtZCdvKkEKsr6lTdGvWgTCcGqYaA8mQh1E
9TWDeqvvo7zQDbUXZkFwbWDZnavswFFV7XtB4ya5RVu2SZ3yqlF1t16IfjYZKjkTt5cGdwqq2+vL
qnlwsS+Beuz5SMS2Zh5pMsFQWEt1rLvRPxay6b0HSCYgQgODk24Fkinpx0O/0LmNRKmlbVjLNZlA
q3VxcxKoU+4ZDIwmnnOpkWyh6AhsmKwa5v0I2e61Js20j4aeWXAkBn2072U76DWQKUdc0nKx1aGC
jjUfpoxwO5yAWE+wy40IRSErOhu8JqhUCA7PPMocY7S7tww2J3nIywrmKHZmH91/31ZJSFFJIhj6
MvB5S1clkO4sp6iOsvS0lFNxKqmgBCSmkEGUjfIQXYi+jRuzmcKqnPJ8h/x0NTZKX5o0TPSy83e5
ajTnYZQO3kc1TkO1PWuRy8irdPGgEJ2g07aayjqaxIHPUYLiwNnaYCozCHx5lz51DHbPd8LUy72L
k7gAjOqLdyhHksa/aoZTrOvkX+eVAr+SZfHQ77CgJe3WrRAnkolcUfgpa5gJ9TH6QW0nGqvpyUHy
agQJdIlmoxlKvKaO5BZZtM7KTU3aLrpLyJ8vYoX6Rcywql/9roadJ91kyW9XqeppU6xnx4oh3eGx
bCWEu9ZaHww3vrR9kqZ66CJIVOdhP3pEVNKM8B+ruSiDxmKcPmbk4XEguQKLdoeC9ZCUc3IstOzo
4NsPOKaQP9/BPREi33ay3qhMfjH0UbvwtPgg6orE4cl5M5I1uTbxnZyTkuNLTy+1J7m4RaRRFrIQ
o6pLi6Ld2ygOmaJnX3Kt8qNcObXaxHUNqBOwZ/EjPzt4ROK8rLV6Et6wB5BSoWSexvI+H0uEJQxW
jpqFvQm3YuDazm1W189VKV8RpJaXeBGmIrI18VbklvMj0d3LlWEAgdfjhTUO/kVTrUvIwzkFGEAu
cTVnAVaZp0KSNCpgZodaSgJ67dr3rpypP4nrsCaxWwrIm4Xff5UO4fHuuBl7tI5u6zLyj5f9QODc
Jj0nz48eEhZFLzvXUZ5QHOxVgmKpqgXKIDT0dechs0rmG7S6ZYCj7kKYWJ4I4qt/gIzjX7C6HeRx
Z4MZVH9pGi17r6Q1BxqPRQiRH7ii+T2ZjdOE0edmGmVvRL2GEa+rCiix8XogPd0m7hVN24AA0BiT
GEFT7x5kzK4h0x7VWnUymn6ObE7BQVIiRRr7ujkosvBO9OC1NorrpZ0Do5/hkK3WqWdKVQbWTBm+
SFRXouZm6+BQJ2mhwE2OQ2XJg+0oaNNxdRT2HHXUPrh31p1Ax325uCrfT+tZWc7VksI8NZwkDtWo
qTuZQ3uaupiW99pslpwIxxHFRtD31mkVavkCzHXYQng5xxizNtUJIgMvrpYop+IKwNMlKzqy4kds
n9VMLPg03ednBC7NBTRy+zH2+/jQGu73dTqHBOuFW787UwXh256W9mlZnfrNqRfyrcGmTRtNmfcw
7YbdpGuIa7Kp/soPnH3rW0VQsCq3OkaUO3uerYeymikV3O5UaSjwedHZkDVscOa4ysOydtuFU9ex
ToYTDGc8vBP2J71Nx2ipJuM1nhsF4oQPVQVS6uId0CY55kSkBfAiy5OyOpNao8tPBtBcp/H6MLNx
ATYkTIZCo8/d0TNElty/F/r5MGhIZ8sy5Aezs/aX+FiuSm+sA9Rm6xZ784J8NLvUO/FM2ASkgEU3
SUk23IMlWdGCRjeXW4nCg8cRF0CAjPNAbNxisZBbZBtKw+KezHHYx+p1YCz3Uq7GV23pJPRIk43I
XVoZZoVzQCL9xZusA1jHb9CPvUiP3ToiDfe6T/XmOHb+YUmR6o6LaKK5QA5qp9ddU7dRIrsG2Gjn
P+JJyUiz1vvNglwzxF3is/k5P6bSwX0sUnm7EMyIIk1e+3Lhnpf9uBHWesGrvBGF2tAMeiY5Cejj
2llhxX99w4gOUqi1LOGiLT9azz6yFh7ZnRkcZs0YIXIIbRe6pUzuJyXiPSQoxYk938Vxd0ys6crO
nO5lVpr1lhJBPuur2i1+dklU+d53MnVW32+acbVf2p5DJSMpFMHO+loQKY02q0xWZGsxsx5IcnzA
AjNJl29YL2JmymO3HQruMaXxFID91aE6A0zthLisi1iEhTf6HPgt5H/66yC1B61JtIMY5etYJd6T
aZXTycrVDe4EcWEn9m2/IgBFRXlwsWfs0XtRlJ+tt8zJ7LD1/XVDxrnXX1qVsi/G0b1mskmKvFlh
ytQZSd2SukL9OdGqaMy2j4CDng15WSBrrXlIGh0DTK0DdSHx4LpVS0JedlUAYqyRfcl4j250WyQo
5QZNrV8r4V3OLZYO2kPdQzIk4k2PyxHWZ61OPdNNgEx8zWe8Xfts6J8xzJw05GH89tly1C28uHE8
LRtVJvp7ZU5eEcIZnPfauMRZ6KEs/Epv8ZH99C7rQMwOimAcqkxnocSD4TuIoma1LrrIb3vk5cJu
bIwq8aHpqyfWJ++4ttUYGmr50dj63hhHEaDS6O/BkooH9DfGwaFNQYGamY7ajroX5UsvHxspUQg6
uXeN0Mi/9ETqv2ZZ6V8nzB5uNQvTYgA12dc3MNq0m8XStasJuV+ESOTGM7CU2qul365J82TlcFv5
ahtnyJMtxH7su70W79fYrENizk6UeN8YrIiw7Ene2Ce5uBlndS21+KHwrS9+V94nmR9/NR3oTDt/
7pbvLF8gtTW5dfJ0PdGpYyDfse5cUsX8DLXfNYtmfCmyhPqG0vmB2NH4B2vBfD3Ppf4OCex+irPt
zGBtZyd9zms4MpDenkcSMjfe6knsHTG8uJUrngGKgQy10Eya9jhdtKnOE4X9Sl5XtNmoOLx1U2SL
AwC0HV+kasvQb3D18Gumh2Txku/DCgsjr9dkPyoEjoBqTzJ2Kibf1Iwvo0FxrVvDfVpR+dWpN4ZF
Xd8hibzNtXTPSQrN8IzHxe7FYYYYHIDgvpJu/1DL4UIk03Weol5Cpdg/ZihMrgvD1SKEtPdV57Ig
oRwxJds0X07fFX72AKqEqqM1vCPpJ4gacnI8QwCGjrMrOpVhIuu3cMafKX49Sm1T7hzcXaxj51d9
Gb4NRfbgTIm2mQb30japhxmGpe/dhC4bcxFh8l2W3q9OsQK+zuLl+7La7iYtgLevMW7DwITf/a3o
jfapWHpOZZVu0N6bvyVjbp9yxD4iTKRe7qY4dnels7L7xFPC76Uv+TUoaPaSKZ6DzBmay8GKGRX1
w/NCKbTLXPEEs3mbjciQG+nqEUxZ4hN6Z1uaxgt4uxahMo1HWWlbjvYBte8zUGYu72F3z2+LzL3J
ap/4WT9/ssvpEjF6aNt1lHfVgzMs46kD+BM0C4dbt85ZNiZ5XAcW/nIt6l2jF8vxjOGNA07S97Oc
cOQnukfQ7pi0ydbxk8Y+AWimlzlL1Ly+OulnMOVcYFdsyvo6sfUD7uqDXUp7wBbQg41J5SZ2vG9T
3Vf3mQToQpBmdcuCcjK0LlJu8bVDKC79FOuT/qPnfMvArz5QJulHx04Q+Rc0U5FU4i/r6ypEfbmD
fYNREB8ZdobMxbzX8D5bAaes9bLR3cOii/656pc4gucf2fFwozes7ZlV7K1Vzndab5dD0Chq7rpP
YTuncDU8WbtI4FP1Ixa9seX2Hf0O9nQhS0ix5opGWywcOUq9vOjtuXqyqmFXgfYuElNcr462r/Ai
B2VfQONfii2hxy1haJwEpTGlaehk+nK5dkt6BYeFmq829klXh401PfeZ6o6izMEW/G/uvmTJbWTL
8ldotakqs4YS82DW9cxEkIyBEVREMCSFtKEhSAjz5ACIoazNetMf0etavUXtetm7/JP+kj5OBjID
JBUhCd4tvdSzl5aSIi8cjuvX73Duueg3ucw8kkxSQ021iQDsZAKIWLSWAueydN21x8N72yIDa2o1
caMx5gJo81UqjEGXgU46De29AO/DkcCsownYqit02TfKu6DI0rXBBQR5Z6+yEuTD52BlwrxifGt0
2TqJhA4fJIBnsbp10WKvKuU8anAT46ZfNG6OphhZD5GIJUZwhvSWfwHgX3URy26+nQH6PkVZFzOp
UoT9mVthrncpJmtRTq58tUFoj0nwwM6Lc99x0DWHtNUCyHnkpoBXh3WRmsdVA2e/he4/eHBVHVND
K1ENJp6rTGiuiU/CzyrMzrjJ4oUjoKBUGRy/LqG357BBH7ZOmNui3FD+EL5ET1OGqm+u1g/gxT5L
wlq7iHQl/6CoaBeWmwrFW+KhIGCAoQFZwLMMyJoz1eW1W3SbIQZumnwi6EGEkQJVtGgq/APw8Njk
NW4LDK/yGQf9IUydL6mffFrh6kMTbxbV9zHmFpwFvDwLdP5O89LmEqEtLKLzqAE8dFMDwDgt+AgM
dAEi02iK28QzI7L64kUV+jpAc2HGTti+q6IkwVwAzbkqajTEjt3AASVSJErnia/K98jkGZNtvroC
16c7A2dGaWKwR3aZyaQFvUH6nugOKltBiRHK0spZEoDzEKFiIgiGRMsiyDFEjNSQKg4jItBPl2uT
2EtQ64wU0ZlXBXqcQjTofJTIVrxJkOWYhluQDCBBdKW7bX6pBKsAJUNgoEI0Pcz8ekUWtVKIi0Ym
q6kWgwOxkR3YuCB/qEmjXTqaZpeov8/KDBGauA3OQsDhZuiFvw31Sl2ujJU+qYg6CUl1TdrCwSf2
VXHsFwY4Onwkpg10U3It1LuBC56jgzkdp2AJuKhBe3PnYizwnehqKxktEhJIQ4ImlWiBw5+BRhSV
+xZwo+I8j9waH987l8EXruBeR/YRd6cIwJju5dd14Ma56ZCEowWOCTopUQ7ynRWafgBSOnc0BX54
SjGCKlqTNN3/2KjVGhTk/H0sV0E+Rl7H2JQRUGpTMP/7C0VsP7sBdxcHjfwQBQnm1SXOe1XMQCSE
IPTGAdf4uBb1s5VaRpOiBQoiSD8XDkF7GQH6HB12mJpgoKMcEDO5InC6cTTGXKFU6L4D37bJNxle
wQE3hVFmXyQ4EO+4ICgX8GnlGy52yb2eRrbXyh5SY+j+HpN4FV1kXtwukgoU3iYXyohoWmCmc7G8
A1tKalaOqiPlYzTwSJUvRRKe+7mLoKaOH9WtfIcWsnBRFMEiIW59gSDNmeqBAiNXJ4rtyFV7njsh
APYGP/c4yUWOWZqFLSfAyY0vMOHDzJLYmXpx4d+Xmh+TcdxwwG5uNe2yiANFx2CO2rvRVIKLUgIF
w7mUg6x3rGRyudFUEPmbCH7UeJwgbaCKUEkMQvWD261e8zZyhj4I6z2BkgeAdwIs+k0S3XArmcd0
4zIWv3hNiUb+AuHBRBbRqYGpF6DyiwF+wyWtz1otCTU03nmfIzFTpopU1ONEFL1JCcIHd9LooK05
K6XQScAOIMCUZCuchXGQIxQxUb2fOlLqhkBk+0JtRkqZgqygrNLbWibJ3I2RQcUAd6TEeRnZ3iJM
uSmpPVxMQRrBMwVZl2MSIRDHMoYmo7uTx0z3QAPZ1FTISvU+whgCyXTVJkswwAKDJ9FToNB+9RzN
1bMQaOWbbZF/SIFpnnsSt9YjkIDhJIKvdks4qDQ8Ku5G2tayjCa8Wlo6kcN/yCSvtMEWiZZscZWD
YVZ2t2iABUcBeRBTPo7HSliC+EEWW+q9C9BSGD3/PkgUdR4ggID7wbe3qqCD79vIXLhITgZl0lbi
6kHlmwVH+zGJ6qWzQufKCeoquJMSw9fvAs+I3bEOGzuNkXFLxnmFkTCTHCyLF1mCYQ0Br+WL2ACi
fcWnD1tRbzDAVOSRAfNAxxNPkLsPdXAD+HfBqkQuC7ifWez6c1kk9WeEG8Z5kvHRQlm5aIlaqZgn
k4pzkkAT+YC/jzL9ugi9OeeTM2giEEVcdidrK/RZqsHqHL098vu2iRv8IyrOOa2eB7Evg7InyWeY
YXHrqCW38fnko6/kxlThkHyF/7ymrlLdblFZSPl5VhMy1sTcQ2omADNMsC2mESZHiabT1LI7dRH6
nAeSCi6fmE/PxRr9qiKyNGMtTfSrDHN1MFNTdOSxq6jYJcO44CoOfoXu6MZHdC5/IrVzmaUEM5VU
qcKJUMOJG4rFhJTICJZ6g2HCZYwMhIowO4BnQGcH6NtkhmG0C/DnoEnLuxRjjB7AcBDXzAuQk8gF
/E/faK7VFeofKxAMAZpJs5aYMqKn5BwTaZZuzT/IGDA73Qpw7iPUsnCiZO/Wiar7zA/IHbAQ3idX
85DGUFFsh/nTxugGWWGX45Vzw/GhIYz5Mib3GCmo5UhwG5FrZr7uxuPUb7k7eatUV1VYYQgwqYpb
GVPZEA+E6hb6hXYzXHiBijYS91KL2uACnFnBlCiYzuQB0Y2JXKTUzjM9BRUwhrMgm9wkVbUJeNWF
Ix41aMKqacpnLBuNRmkOYjEYC+lW0qawP/l23AC79lkEouIj5xcYUal6jX4t09HsuKDV/IojKG2O
Kx6sIkj54SEaMAaodPm8qYLHEnxYyAlNtTQUJ4rbVgjpxXi+ksMYuT9VxDsoSPHGU6iHBjtWxM52
pgSopo1bLz5Lda1YZABBfC7BOSKiqZFPPriSLD6kceFdi1tcpROALMJz8CchrVHEgj8VjNR7n4OB
QTd9wKcsJa/WJUigxqVBcMEhrcYhFIzyqHgMQ572rFaS3J7h6kPfrgSn7p3u61o7zTC/ZwrybQ8Y
qBz0XrXk5+hCq4hwEwaYVHEhYvyWmXvwzDFA7AI7l98Svqo/+oKB/j+QunsW+pTFmU9S2kiNUS5z
VTSQKAXBWPxYh2V5g1Wi2ZOSvCAY1dB91opBcB+iaBiPBbmVTKQBJ6WoVvMmR5JzDC1Ai39mGOep
4IvuxPVaCelh4regTZHQpVmCkmpaZ+4j4rjLUg288zLMMdYlQKRQTiNkvxUYVU28VBGdTjgR03uE
Aq3gspMn7ypF9i+EEJkk0wVAnx9v0SjwsBJWwTWae5Qvta9p10ZQo8EaGSIwrmnlHOqBMRGucAWW
ch3Tcjh/UZCyHQd8Vd5rnIxxLYKO9nAhQHbQa1oTme38PRLKEbiCDJGfwwCbLQ80ilKoq4/oH0JJ
sy20Yslx2Wrj8EGoTQoSgpEMxM4ETWcFD3llazTcnCsFjFqBH6k/8hihuroEhHwFKiQfzk465eIQ
aOUatdb2cltX2xsCzhh0zhL4nLwf1lMvqJJbALe4RzcgF44eYZeR+xor7la5czAA5tpVvQsh9bTb
XDMqM6xqfwpUCY6LCOR2gStcwVpqjpcnHBgIXE41TNIozSY2hEaZFSDfuPJRfccwavAsAdblqe/D
OAoeC+AGjYksJcU0U5X3IVJF2KdkyWOI5GVZtGcrTcsnqHXhLoiIwKF4tZXyO12JcWpRkF4gY45x
EmJupZz/Mec9ftbIW/BB8Sk6xX2c8anboPppaJFhanAOpgigH+K0NhauJm3BeFyh7MFjOh+ILMQr
HHhMFuMyEubjJNbfB2l1F8SN+LlQibcIYv7K9/mJ4reYv5QrF7oADMC2vgm4HO3QraPfrOr8o675
/HWAujSmpckbHiU69JY0ml0l4ieQzRW4kIhlNNV9xGcPAmZGTN0SZQUhTyg3bCSk0xUg+bjQMvls
VYPOIC1xVnhcVdMQ4S9YK9B/JFc+h2QIQEYcRouaNSz/EqPRuSlY4FpEOkERXKEU/knA7NxxXfgf
EvA7XLZFKy6kbexOSJZj8KOB0B4OgVBkgakh9e3DP5K5FDR8iV6fYaC1h0Sfn73DQMFPPkjlLgDw
2LZmoKQr5IDTUuPHUYY7yETuF9m/pBaQKCx8cKy5QBC/59p4nkj5PHFafoG58SDYQr43v0NgiLJn
FZfS+5JUtYkU1JcYl6h0LSDHmqFBm+cgWfL9z0kmon6L3mjQ7qExl2BIESg8Viv1ssga1P9xxM4F
zgESVFsJKKsnAEIhtFUwmq8SWm0M6F5QmxqCFNy6OG3wLuFhEFItfZAto+yFjpuV666WIkH7OVg+
oGirGFkpVC+LD4LO+e14m8cYc+OkyQXHlYtVGITXYPUFa1EF1waXifRQYD7kJG2Q9EB3YAPXiEO3
o2B8cB0OtotHzks1Ey9C/6jPVWbTIIFJ0PsbOGgvhSlzUEXChBqzTRycU/ha7Tb1b5D0COAviVMn
5yZb2HhT9bfKDM47gHsl7l4U6d8pXrqagF6WTNCSAK4VDGkzQVD1WQ/QUwl2QmUGWg/YAYNO8FLk
1UfcMsq7KGrRmK+unE9SLZIHQEARkXEq5StRTIRV/LUoBuJd5UTGtYPCPfKRWnyXi0oxwz4IFy1R
Vg9lzdeXCXDVqBmsltFK/CLW2u2Kk89LbYuk0kqMvqCYB36uqsyrK89InFsV8S6KU3ICfQ/bBSAY
V2isXU0wzg1977upfrlzV/BB2WAjynLWFmr7rta3vjfJ0DCLo8SvkvdoG/XMigvUd9uy/BCKcrDk
0wZ5qaTeRvgbBJTN2HXllXyblSm5WtUlYjW9ElBVjH1Hl2aKUmy1SZ6oACt4QhZq0wbBVYiCYVbW
JtIaLuKKgAB1Q5y2WJZInghjENUFC4VvwVUVV5QVJ09AdDUB8hkXQK4USnbTpKEjXq1AISLfI9RL
HSSkak1EIQutyDXqDXRcoYNxSPfZCnweZglKSRhAdduQszqUuLOkUDXP3GLWETqPq7QC2xSax5HB
8wWgkDOcsEdJKQRiqi2PenXcUnISP8orxRQ4IQjnqHu2KzSiF+o89QR0urehWKHu0irZzKhx/KYe
AbYOVE8at0gBQgoncgSmbBMnFZOlMieI3jd16oUTKdEl8AE50hqwPyQTK90oZivJJR98HZRR40qO
gglIgsor1SGACCRVI31K1TSO6JBh/iLX6pU8SYiHdJ0BXMVHlPVzGZDXsrEdqZLeZStHQlM9CCo8
M5XLNrvZhrx8kbaK4I7xzDCd+qpep1e8UBDvHLPnJES7mIf+GAOAVk/dGsQY4wQ0XPi4KVAhAL+E
aLcGq2ieTAmodUHXAGf+0dMAWxpHRQS0jgTWhYsUyQdw3znlFsgDFMIA1kEpzBgjcHVBVrytgZLS
U814EColR8KhQu17gsJp8pCToLwq9KBqcQFFLbACuCBWMw6j5EDJiD7YT0EGupC8CSowHyYZ8pOw
MbSSZsRgOVxxAjfTQUcGnFmRyEB3yys43RgznHvTQnMNsF7piCFpTlTYCABsZJdEb5MtFohPDVqY
eovWcgeECGdNoNfOHFqNYBu0vYi2XAG0TWnkZv45Abk2DImuc+olzwNBNAW5HTwlx8cM3GkK2KZy
64MlC9Ec0gRfWtCb3TulBEoneNdobUiqLLtuxEQMz1P08d2VkhTr563OA22JqidpwEJTF2tYuOLK
EX1gATR+5ZoRUHMpyuMRZiagSQ8XxFbJnC+ZhD5IizcSTC0DgYdazbIKwZkZikmWXgADZ1STsARj
AThPkxBznUGQaho1AtgasfmDoTkgrmy3UaWC5CEK+XFbFXWKTSqlDFMVMUEbXB3ER5QklIqxqAC0
uwKmLjHOsfcADwEz7uVnqK9g5qDoOK2LGmAphhZyXW6AKmgsFHdNJRcYNyTUWxRQk8h1lyvwcsWz
dksiZR0HMLt3eeUhIwokj5sSKzNET0QCEtPSUCWQ2/g2zLew0KILT31WCGBxmyqkBInhSqlQcVM4
2YOjLBa89+4ZNvMEtP4Q6A2PGEN+RFFDIw8oLOQDZL0MpqGkcJLmQpl7lzD+q3+41qonxC7FqU4R
0hTNbWmT5s7OYSD3TWCOndC/vcH8xOI++bEf6kCnpwU9NV3dN6n9b/+0Tsq4oCtwMJDtOUwWPOTP
Pt4fknbrfUlCaOG1yg1Ey0DDAgpL6QT2v4BeDZEEe/prgRffgMUdLVs8IPD4tQfyPtuhr+3By6+3
38yXf+alF7B33+Vi82//BEUcuAWC/EZH2yBtPO29Of9Gl6Dl6APaPeAXemdp6CujRw+lSgncdMb+
F/Duz98dW4KoWAfnIPD7v/3tv/5C7y5Q/DWWBJT781P4HSrP8W8weUYDKlrfqzzPHyg9Xh+PwZAo
8Wl/frVNoEZ30B4I4huQFwDpS+euPP/yaN/UBYR8GPDxq700eD+GvrUOvZcBLQDsf//r4OWlNxit
g22hrcO/ltqj72Doy6tvDNT/efXAzokCWiXQESHCBvxi7zzUzAnaG/SnYsQbOs53v/rKbihvqBag
OEApPPDrlzP06CYZ+tXfgP1e4DHn7kjVMdKB3gL7d99r1y9k5497hnaexnfYeQGfV1RVVZGefJv+
18emvEGnL5h3gLaiv75jC75hn/5wFE3XCzc7F9Gz81Oe5Nd+oLvjjv/+yTOi7o8m/9kQv/tB6jHu
n733kejv/9ZzIHe3+bO/pFfps9/2fjY/+uGnV3/+rOd/1HvRk2/Q/eG5ZxOLrN1m9580T++0sCJ4
pW9Dxyae9dzVhf7+ucgjl/iPy/BFqbGThD2hMPNDhQLdk1dW3BNLW9QGy7Vjr+fr0w78wUJLUsYb
rxNEFYheqkPFmq616aRQmTKO0lCZd6BffAy99Sj5Mipce2QiKEk6sbuHgHFg6EMmdpSsCYKh9ej1
5zHQQBPaTZJ+DEfHbg99DxN9TiTJO0F0exS4iIPFQgCxwtHbL8RbW/Efe9RJ3j0HN9Tg51ipPfpg
k43dydpJxvU/VDKasB+TsuhpPHWAhsqdOqhmdWLoYmkgPlhoVloFUpTY8TOM3bB7NoUSqQx+APEK
0herMTiq08L1krRvrikT49Dl3uPYn1nRY18y7c0eKvnMeuwfQkq4MVioe3AN0ChisNAjRYAzM1ys
+fv/KuzR5p8vtonX5/JBqWi4+LkdNz3tFUQGUq+8x0OvAKQMw1d7ZecJOLc6QfQ4Y9hk99uTKbhv
8jew3oNdoPRaQzXi2tpYjpWvLdLJ2i+YwQZfW01SFD0jLFBin+FLDq3K6+Tslqsw2N9rKzwQyuAU
X9PBOuu+MlBCkOF7UML6opm+E7XbBspLw0ayFffNpMDimrtOWmp/s7KvE3Ta+NBVLzy4+J2Y3V6w
uDJ2Ug82QmPgoezvYw5NGLlV9lZNqWGH7sXd738vgXHuufugrmAgGJHJpmeIRZoIGLrepd2sXTsM
7Z4yi5Qra7BoeGvuk8PZSaPaIVKS48HC7dh2rLATtJMrMDiBS4SyxBpd2UncOygYpN4968dvkWUS
wc71PyKluxq8GeXG6mncjlllqNT7pB+lIa/IYKm//0cyuk+i3/8+gj6Pbsjv/xmvvbS/13TI6eDV
4xgCIdgJ2imIxODA3IMR4dBAo7bQPefHleO9c3TAaW1g6D5gkgkmqVqjmZX3bkJwOg0XjhSPd+DT
iwqDTZ4iD1N4cc8lAGXX8AV/PopBREpmPHSTP3vRo/VY9bWYTsoeKni5s6HLo/OtMbAaY4+M7uHM
9Yzobkj10FW/fWzs3rcDhZhOa5SyDhpRQQRE7tUDcyoT+Uf18jiP2q9Cf//fP32pvZlQQAvX5Taf
Z0dfyK4eJVdf+NmflIk1EdP2PQgWZuuM2HYcwnR1yk630GBwpq7t2jtw3unoiaG6ubQA9Bjd0Gve
3l1B19QnRt20E71TAZ7Bk96Do9DejJaFVRx4VzIDy2BiI3YJPaQhkdHrrV7j9Zeu6vxZIeqlJLtp
Ee/x0e67FshZSAbQQt0DT1x4e/k/7wBjnAbS1n+9A/w2fDz0PBio6dt4k8Dl7b4nVX8Gzv/bMge2
sidVYKD1Yzt0vLLPLyh0Sz+hit+o6ehCQ8y9MwfnNmltcBHDZ+rk7iwCA28Ji7fAm9oT++o9uAfH
vHRM0azk4KT2lisxWO7EjiOLBM+XSyEmQw3wBcE29K8LFkmIaV4kB3kT7SUj9Y2aYbb22u3vLYsk
xMw7ujMpr+XQvZ1ZmHU2usjpBvf0jPLcDhZOrHjdc3EpuftQqWfeI66xop8CNRh8uTMgPePcbrol
7vySl67Fb9SIM5tEVtwXy2If4Ef1d5dF1ggdFgikeqYBzne3JT9uMM9LzA4gvU0QWKR1LtZHxkFg
kda5KKywv1oKhxyqu5c2OVAw8JMzEIv6LPL3ds8lFSgl7tAFX1nF9kAbWOQYrrzCLQ9dE5DoDl/w
Mky2VnC4ZAZ7fOXBrhd2nBd2H5sBouvhy74qaztCtZo4nSxqfQSZgYm/TsIN9qQnV2Fg1q6T2DoI
tyjj91CNQ2Gn6C+WRb5lYQNHQo5uORDHD18xCCcqq28rWFzNaMc48HowUGv4am8SUpQHiXCBRfh9
h1z1gT8lsihX0xMNPFRPJ0SBgQIvd1aTYMpRt6s7v51F1LFMkTToS2VwkpdbCwEd2fQEUzr7oWdu
Wdmb/uUBLnMWYr2i3Z+6Tthuh1lcee8Dgi3uOZcii/vjKQczB9PjJumHjSzgBh8o3gx6Z6KzqLcn
TErtSYwLygZRUE80i6hmaaN5sX8EWaCHEHjYFOR3fZAywhB5NoYZ9cRra21vDiM9jAlj4c/NkzzZ
9nbbwCyA3fSxoWfy9/9Bzf+p0EzD5CUdzSlIkAO8LmJckdF976/55z8vtSbuUotDU2vP10/f8c/R
FseJ+96zprRXDNjr7g9fTIvYodceWJTXNvb1ZIuZ5BijdneQcWVS8wpHSyvcWsjGdcuk5lVjcDWe
AYxoo/TcO/HGq2r2+m6cJ/GmJFYv1SCwyJ0vsMHEcsreioUXs9rfGL7foAoS9cXSdsGXz/dzhf1T
B0/96bOugE5Jj3X6tWLV02ro5wcHA7rkeqKeTswLBaajYtTzlf6/O3AWCEj6fpLAwE0ym/QgacoC
w3VmtRZKM8RLu29Pdxs9st1vv2Z7Xz8UF8iTdVJ2QllAPC5yYtm9Sq3AYnOx1qy3VhaO4mVCDvAo
TO7/eVlZXtFbrcTArbiyUVXpl/8EFoXRd4ifeotlgQe4Rat673oQ6PDgl43X6xq7tMqNN3pLrEOn
kLbRDRbeHNQmRJHBIXty7OmaRyC6Q+PHQY1VZJCT/WjnxWhsxb0aCIaTD9+UT3Z0EKGxKK0skhGU
7p/z0WGqAX7l8DWD3hahzrJ83Hi0trfuHUVZ5FmY5fsyfjzlJMOpgL1jkTB5+1iOrsu87wHspTPY
o3+/my6ndx+mk/82osqDCsRoeaj/mArKy8DZYIijqBq7QdmvfZzn9/f/X/8DqRljsPvxgqvyk7Aw
b784aPGAHvdtNIPE8lukSB4tz+8LZmAy3hKYjH7QzsD0w7o5obWxc7fTQeqysEjpXDcWrR/3xLJY
sFsefjQGln6MZso+ZI0Scwy9+tAj+Jhs+t+MRb1lSbzRFa6lnhFjkc9CqNKHPbAohiBIdEZz+o/l
27tuU/feNoMvdwH4SmwfIH13zCJDvx4k9z8deES65f94dHBppX3TILBwh+YNcZr20JwBcjl8waiH
IO02x5z4nrphetlw2Xt46wnZDBRjjggvcI+3hMG5vrL6Dbo7OpOh6obEppUcHZHd8NQdQ9KPqxxK
e+iWP9BlFikrFPc23rbveAsqg7sOgi0w1/UVjkVf7sJO+00jgsagyHljEWSlw5OOq85EfnDkqggs
MDI3ILTw0hSVl14Kb8dQM1Sfl6i5WBgmaXdmYudYUBaUoZLvXcs7jHB23GGDBVu+d7zTwK4zWLOF
YSi9fIDIwsO4R3cHdQsPzZzIggviffton9gOFiiGr86JHmjq3iEyTbajiwLsGOnot9EUTfhJUT6d
zO4z7pwPReQZXAVPD5yXsZW7aKj4bdT9q3fqoZrMAv6wBEtkETan7I0EGjAGF/O1t9mglje18n6U
v8tGf/0Aw4p8Uzv1064tXQ9zKpBU+G30x7/uwYvPv5SKiYOgeOv+aMA9SG8VCx+IeOH/+e//Mw/o
785Ig64IrOAcRAKR1X21nj1E0QuDxxnkGu89kHtwaFLvd2Zr4DCTeAbO5RKTJK2gU/f8t4lnJQ3i
JW90C7IYq1/axIRVcCIO39ZJEmwSbOC9FSCM9PrFFUNTZYVFZmhuYSiN18vECTzSQprBwFe8sbjQ
49YA+nJ5XnZbso9Rds9g8O2BT3FOSGZgg66stHAP3Jr91rx6cf28xJJkgMnsmzJLuBJi3OxHRa1+
VilZo1HllZ/5JfiwdgQ8zxWB8n4dmNSnV/5Ga/o2RlFgTZEonZyd5sJudr/vbOZ3yj3wwHe5wEEr
nZYk6ff67nt1BgndB6hvT/RBSbSRb5DsXRvLUc827oOBW7sPfE+sWULt6cjYfN9ne0dPQj92UiVd
l3VRl8EUqunIPR9Xjb7vGTeoQzmHKByVmnpw6OP/mBUoaJgAfLj75Z/kx9/qK0BnrANFxCBUjH3V
DUDEMFAKd/OLdapvfdAYUFWwhy2P+vVAky0gUW8IEt5PlA3jxQrQtz7uGlQ1KbyfqP+pUB1QDEUX
FRU885oEvuYjFf6BTby2HJfYj93noPYBdMga/Z8OnlQNpMkvB33f+lZ/9AyOvoLR1WW0D0rYRTDW
ajyICl6Eyu0f+/NuKXz3v2T54+SNobyO3PmJX6LrO/2HwMK8JeVj/zbujl53FT87xN9+zXtARO26
FMcWeQQpQCeUnucjJ+JHnuCUXtiHibFI2NDVAteGw2zjmimanXvyqm/6Om6BssqNLRd4rp5oFgl1
02pQSj8VYbNIf5gH2sGCQmuSYJ79gQ/IItnQyT3NGcki2wsKgUNmAhaVfqAeN2jsL/sO57F39f3n
5Bw4JK+nzCyC90vo8cH3E1igWK4tQrlUDpm/WLCKorJQ5JQwqZclwnTnbnN+3NrdoH2zSCjStpe1
EFkgWfYcEHOvKPKdNV3YW69vQVikBvdPuSrXfQdPZIFUv0efi7exNrvl3yePcMa7Ld/dBSyaBWlu
eb8/JvQyyU8ZQ5EFGeR+oz546C4GNQeFyVOW4L1VOCpNsOBdHFP6vtwdffCI45008oDodPv54yr8
fvniExhc2JgmaB2QfoosAOOYC02rkd0W7FSKRapwafW9IlFjkLxDoakYTUuUQA45GUUWrfp77YQL
U7i//z20o+b5rmDWTvfbH9eT3QtcW3hCHxMIwiQWNc/9C+xvgdG/zIBOXtv/2q2afloJgdhRzuHw
Vvx5nj/tOflLBmFQWVAf9G8HFp2QSIh9ScLgRP1JRScWyHsMVUVfE0ZpKK+TJf+8734qy/MPEfyd
2QnulV5wxgIFcFfmB3kwkYXbef/7/wZDYNMv07/OH/Pz9GKfIh2qCf3qwS9RGSAODY/7ADwWxdwx
wD8HtA8s+jHHxGr75IEsCEJNQFJ6usii7momYXJIPs8CWTVdI8bs9+ux4KibISBeu3RywAENPQt+
g5mFScNf60U9KmscugGvJ2XOSgB/e8YPddrO3RjgJKFqj869nmpgHuZwwRS8hbRaz63DGCkGgm1S
dlL2Ga+XyiHfmAR8T8rDxYosTsgHdJq34EHsfThk6bsX+NqH+3nXwKma1l/wUtiXNdFGYkVJ7+Ow
iDzG4LI6TCOzCGiouU1OBtYsEMlmQrMR/zK30eEdO/96Ki/BIkuwqyvTDh6ETtQQn3oOC+YdM0k6
X72XhGJBvzPzfK87wtQGsUC7zsAuQvvtOmrTHeODtybHMPwXWUK/0eA93YV0mvERzJ9FP/iT/F1B
nn5sejP+AaigXRYHRHoMLgYkpntUJMfF+O+/dc9tMMk8aejuHa7XEySHwu7PepoF0EWnFF+z66/f
83PAsR6Rcukk7a44FsztpkuAZ0VN50QAK7wemLy+8oVdjUwrPEEjwoJbZeEdjNhgwazywYrB4dB3
J1jkzhYWgLK9L8jizNIN/mwDbdmn+QTNSfeoH1e7G69YI+d58nIBFITBA6wURVb6CseTuzBmk8UD
wsPBIwyOIy6pHCDA000Ix0iw77cw+zTiuR2iWPdfRm9zJOtzDDrZVyDoiUW5FEBas4zdnp8ChM7w
PbtPAvimPU0VWbgS92iN6a+WRVvTfQlqr4PFMtDMj/i83r4iMysLIM67faWmF4Ch7rc/friOnEyR
BXTXpD0mtJrXHdpuoXTdCpLPmgZIkAKuJR4IMhZke0/sAHso1+ganHBk9K4EZB7+4kk3TqMwZQwP
V3RkRwGSe31E308MfE7A7IYGPs/fhqrPy4xMz396ShEd/XG4vcV8198/w4ecAt31BD8t84U83hEa
+Pm6f5G3PIH2++u95SnM31/vLU8BKn+xt3x+AE4czKdTvw4RTPzt/wIAAP//</cx:binary>
              </cx:geoCache>
            </cx:geography>
          </cx:layoutPr>
          <cx:valueColors>
            <cx:maxColor>
              <a:schemeClr val="accent1">
                <a:lumMod val="75000"/>
              </a:schemeClr>
            </cx:maxColor>
          </cx:valueColors>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157005</xdr:colOff>
      <xdr:row>2</xdr:row>
      <xdr:rowOff>107233</xdr:rowOff>
    </xdr:from>
    <xdr:to>
      <xdr:col>3</xdr:col>
      <xdr:colOff>3552</xdr:colOff>
      <xdr:row>10</xdr:row>
      <xdr:rowOff>177940</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C2922A8B-3487-4BB0-9A4C-5922436CDD7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57005" y="637912"/>
              <a:ext cx="1635887" cy="147224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151772</xdr:colOff>
      <xdr:row>11</xdr:row>
      <xdr:rowOff>31401</xdr:rowOff>
    </xdr:from>
    <xdr:to>
      <xdr:col>2</xdr:col>
      <xdr:colOff>491951</xdr:colOff>
      <xdr:row>29</xdr:row>
      <xdr:rowOff>92335</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455850B9-DC52-4156-A4FA-0DBBE181C51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51772" y="2147312"/>
              <a:ext cx="1632858" cy="336747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10467</xdr:colOff>
      <xdr:row>3</xdr:row>
      <xdr:rowOff>151772</xdr:rowOff>
    </xdr:from>
    <xdr:to>
      <xdr:col>16</xdr:col>
      <xdr:colOff>256442</xdr:colOff>
      <xdr:row>7</xdr:row>
      <xdr:rowOff>172706</xdr:rowOff>
    </xdr:to>
    <xdr:sp macro="" textlink="">
      <xdr:nvSpPr>
        <xdr:cNvPr id="4" name="Rectangle: Rounded Corners 3">
          <a:extLst>
            <a:ext uri="{FF2B5EF4-FFF2-40B4-BE49-F238E27FC236}">
              <a16:creationId xmlns:a16="http://schemas.microsoft.com/office/drawing/2014/main" id="{CB9C7DFA-0D8D-4F76-85A0-08596A750577}"/>
            </a:ext>
          </a:extLst>
        </xdr:cNvPr>
        <xdr:cNvSpPr/>
      </xdr:nvSpPr>
      <xdr:spPr>
        <a:xfrm>
          <a:off x="2004437" y="795495"/>
          <a:ext cx="9891346" cy="753626"/>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236137</xdr:colOff>
      <xdr:row>5</xdr:row>
      <xdr:rowOff>61226</xdr:rowOff>
    </xdr:from>
    <xdr:to>
      <xdr:col>6</xdr:col>
      <xdr:colOff>100065</xdr:colOff>
      <xdr:row>7</xdr:row>
      <xdr:rowOff>88970</xdr:rowOff>
    </xdr:to>
    <xdr:sp macro="" textlink="Calculation!F4">
      <xdr:nvSpPr>
        <xdr:cNvPr id="10" name="TextBox 9">
          <a:extLst>
            <a:ext uri="{FF2B5EF4-FFF2-40B4-BE49-F238E27FC236}">
              <a16:creationId xmlns:a16="http://schemas.microsoft.com/office/drawing/2014/main" id="{CAF0E4C0-7142-4890-9E50-CE72947B7DCB}"/>
            </a:ext>
          </a:extLst>
        </xdr:cNvPr>
        <xdr:cNvSpPr txBox="1"/>
      </xdr:nvSpPr>
      <xdr:spPr>
        <a:xfrm>
          <a:off x="2230107" y="1071295"/>
          <a:ext cx="2072472" cy="394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1CE8B34E-D13D-4D77-848B-E94A77C3286A}" type="TxLink">
            <a:rPr lang="en-US"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algn="ctr"/>
            <a:t>Rp 25.728.657.750</a:t>
          </a:fld>
          <a:endParaRPr lang="en-ID" sz="14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4</xdr:col>
      <xdr:colOff>236137</xdr:colOff>
      <xdr:row>3</xdr:row>
      <xdr:rowOff>136700</xdr:rowOff>
    </xdr:from>
    <xdr:to>
      <xdr:col>6</xdr:col>
      <xdr:colOff>100065</xdr:colOff>
      <xdr:row>5</xdr:row>
      <xdr:rowOff>164444</xdr:rowOff>
    </xdr:to>
    <xdr:sp macro="" textlink="">
      <xdr:nvSpPr>
        <xdr:cNvPr id="11" name="TextBox 10">
          <a:extLst>
            <a:ext uri="{FF2B5EF4-FFF2-40B4-BE49-F238E27FC236}">
              <a16:creationId xmlns:a16="http://schemas.microsoft.com/office/drawing/2014/main" id="{900A1E59-C67D-4AA9-B6AB-B2E81F343419}"/>
            </a:ext>
          </a:extLst>
        </xdr:cNvPr>
        <xdr:cNvSpPr txBox="1"/>
      </xdr:nvSpPr>
      <xdr:spPr>
        <a:xfrm>
          <a:off x="2230107" y="780423"/>
          <a:ext cx="2072472" cy="394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i="0" u="none" strike="noStrike">
              <a:solidFill>
                <a:schemeClr val="bg1"/>
              </a:solidFill>
              <a:latin typeface="Lato" panose="020F0502020204030203" pitchFamily="34" charset="0"/>
              <a:ea typeface="Lato" panose="020F0502020204030203" pitchFamily="34" charset="0"/>
              <a:cs typeface="Lato" panose="020F0502020204030203" pitchFamily="34" charset="0"/>
            </a:rPr>
            <a:t>Total Revenue</a:t>
          </a:r>
        </a:p>
      </xdr:txBody>
    </xdr:sp>
    <xdr:clientData/>
  </xdr:twoCellAnchor>
  <xdr:twoCellAnchor>
    <xdr:from>
      <xdr:col>4</xdr:col>
      <xdr:colOff>277376</xdr:colOff>
      <xdr:row>5</xdr:row>
      <xdr:rowOff>131405</xdr:rowOff>
    </xdr:from>
    <xdr:to>
      <xdr:col>6</xdr:col>
      <xdr:colOff>12832</xdr:colOff>
      <xdr:row>5</xdr:row>
      <xdr:rowOff>131405</xdr:rowOff>
    </xdr:to>
    <xdr:cxnSp macro="">
      <xdr:nvCxnSpPr>
        <xdr:cNvPr id="22" name="Straight Connector 21">
          <a:extLst>
            <a:ext uri="{FF2B5EF4-FFF2-40B4-BE49-F238E27FC236}">
              <a16:creationId xmlns:a16="http://schemas.microsoft.com/office/drawing/2014/main" id="{F11D1A55-35C8-4565-A23F-CC24D26B9B5B}"/>
            </a:ext>
          </a:extLst>
        </xdr:cNvPr>
        <xdr:cNvCxnSpPr/>
      </xdr:nvCxnSpPr>
      <xdr:spPr>
        <a:xfrm>
          <a:off x="2271346" y="1141474"/>
          <a:ext cx="194400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490835</xdr:colOff>
      <xdr:row>5</xdr:row>
      <xdr:rowOff>61226</xdr:rowOff>
    </xdr:from>
    <xdr:to>
      <xdr:col>8</xdr:col>
      <xdr:colOff>318129</xdr:colOff>
      <xdr:row>7</xdr:row>
      <xdr:rowOff>88970</xdr:rowOff>
    </xdr:to>
    <xdr:sp macro="" textlink="Calculation!G4">
      <xdr:nvSpPr>
        <xdr:cNvPr id="46" name="TextBox 45">
          <a:extLst>
            <a:ext uri="{FF2B5EF4-FFF2-40B4-BE49-F238E27FC236}">
              <a16:creationId xmlns:a16="http://schemas.microsoft.com/office/drawing/2014/main" id="{BD7AF7F8-BA26-4551-9B48-0A28EE1A7477}"/>
            </a:ext>
          </a:extLst>
        </xdr:cNvPr>
        <xdr:cNvSpPr txBox="1"/>
      </xdr:nvSpPr>
      <xdr:spPr>
        <a:xfrm>
          <a:off x="4693349" y="1071295"/>
          <a:ext cx="2072472" cy="394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2B214DCB-7F96-48C6-9522-A16832D84461}" type="TxLink">
            <a:rPr lang="en-US"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marL="0" indent="0" algn="ctr"/>
            <a:t>Rp 1.533.803</a:t>
          </a:fld>
          <a:endParaRPr lang="en-ID"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6</xdr:col>
      <xdr:colOff>490835</xdr:colOff>
      <xdr:row>3</xdr:row>
      <xdr:rowOff>136700</xdr:rowOff>
    </xdr:from>
    <xdr:to>
      <xdr:col>8</xdr:col>
      <xdr:colOff>318129</xdr:colOff>
      <xdr:row>5</xdr:row>
      <xdr:rowOff>164444</xdr:rowOff>
    </xdr:to>
    <xdr:sp macro="" textlink="">
      <xdr:nvSpPr>
        <xdr:cNvPr id="47" name="TextBox 46">
          <a:extLst>
            <a:ext uri="{FF2B5EF4-FFF2-40B4-BE49-F238E27FC236}">
              <a16:creationId xmlns:a16="http://schemas.microsoft.com/office/drawing/2014/main" id="{23FB7A63-EB88-4A21-8B92-3B0DB7CBCB42}"/>
            </a:ext>
          </a:extLst>
        </xdr:cNvPr>
        <xdr:cNvSpPr txBox="1"/>
      </xdr:nvSpPr>
      <xdr:spPr>
        <a:xfrm>
          <a:off x="4693349" y="780423"/>
          <a:ext cx="2072472" cy="394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i="0" u="none" strike="noStrike">
              <a:solidFill>
                <a:schemeClr val="bg1"/>
              </a:solidFill>
              <a:latin typeface="Lato" panose="020F0502020204030203" pitchFamily="34" charset="0"/>
              <a:ea typeface="Lato" panose="020F0502020204030203" pitchFamily="34" charset="0"/>
              <a:cs typeface="Lato" panose="020F0502020204030203" pitchFamily="34" charset="0"/>
            </a:rPr>
            <a:t>Total Quantity</a:t>
          </a:r>
          <a:r>
            <a:rPr lang="en-US" sz="1200" b="0"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rPr>
            <a:t> Sold</a:t>
          </a:r>
          <a:endParaRPr lang="en-US" sz="1200" b="0"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6</xdr:col>
      <xdr:colOff>532074</xdr:colOff>
      <xdr:row>5</xdr:row>
      <xdr:rowOff>131405</xdr:rowOff>
    </xdr:from>
    <xdr:to>
      <xdr:col>8</xdr:col>
      <xdr:colOff>230896</xdr:colOff>
      <xdr:row>5</xdr:row>
      <xdr:rowOff>131405</xdr:rowOff>
    </xdr:to>
    <xdr:cxnSp macro="">
      <xdr:nvCxnSpPr>
        <xdr:cNvPr id="48" name="Straight Connector 47">
          <a:extLst>
            <a:ext uri="{FF2B5EF4-FFF2-40B4-BE49-F238E27FC236}">
              <a16:creationId xmlns:a16="http://schemas.microsoft.com/office/drawing/2014/main" id="{C044AE28-52E1-424C-929C-3E71EC9103C1}"/>
            </a:ext>
          </a:extLst>
        </xdr:cNvPr>
        <xdr:cNvCxnSpPr/>
      </xdr:nvCxnSpPr>
      <xdr:spPr>
        <a:xfrm>
          <a:off x="4734588" y="1141474"/>
          <a:ext cx="194400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59943</xdr:colOff>
      <xdr:row>5</xdr:row>
      <xdr:rowOff>45526</xdr:rowOff>
    </xdr:from>
    <xdr:to>
      <xdr:col>12</xdr:col>
      <xdr:colOff>185547</xdr:colOff>
      <xdr:row>7</xdr:row>
      <xdr:rowOff>73270</xdr:rowOff>
    </xdr:to>
    <xdr:sp macro="" textlink="Calculation!H4">
      <xdr:nvSpPr>
        <xdr:cNvPr id="50" name="TextBox 49">
          <a:extLst>
            <a:ext uri="{FF2B5EF4-FFF2-40B4-BE49-F238E27FC236}">
              <a16:creationId xmlns:a16="http://schemas.microsoft.com/office/drawing/2014/main" id="{37C04AB0-41EC-40E1-A6CF-32CFBF1E2676}"/>
            </a:ext>
          </a:extLst>
        </xdr:cNvPr>
        <xdr:cNvSpPr txBox="1"/>
      </xdr:nvSpPr>
      <xdr:spPr>
        <a:xfrm>
          <a:off x="7156591" y="1055595"/>
          <a:ext cx="2072472" cy="394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E161D91E-9235-43C6-B611-88636E702556}" type="TxLink">
            <a:rPr lang="en-US"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marL="0" indent="0" algn="ctr"/>
            <a:t>Rp 20.583.516.064</a:t>
          </a:fld>
          <a:endParaRPr lang="en-ID"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9</xdr:col>
      <xdr:colOff>59943</xdr:colOff>
      <xdr:row>3</xdr:row>
      <xdr:rowOff>136700</xdr:rowOff>
    </xdr:from>
    <xdr:to>
      <xdr:col>12</xdr:col>
      <xdr:colOff>185547</xdr:colOff>
      <xdr:row>5</xdr:row>
      <xdr:rowOff>164444</xdr:rowOff>
    </xdr:to>
    <xdr:sp macro="" textlink="">
      <xdr:nvSpPr>
        <xdr:cNvPr id="51" name="TextBox 50">
          <a:extLst>
            <a:ext uri="{FF2B5EF4-FFF2-40B4-BE49-F238E27FC236}">
              <a16:creationId xmlns:a16="http://schemas.microsoft.com/office/drawing/2014/main" id="{ED41523B-7ACB-44BF-ABEC-997F3FBE6F1B}"/>
            </a:ext>
          </a:extLst>
        </xdr:cNvPr>
        <xdr:cNvSpPr txBox="1"/>
      </xdr:nvSpPr>
      <xdr:spPr>
        <a:xfrm>
          <a:off x="7156591" y="780423"/>
          <a:ext cx="2072472" cy="394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i="0" u="none" strike="noStrike">
              <a:solidFill>
                <a:schemeClr val="bg1"/>
              </a:solidFill>
              <a:latin typeface="Lato" panose="020F0502020204030203" pitchFamily="34" charset="0"/>
              <a:ea typeface="Lato" panose="020F0502020204030203" pitchFamily="34" charset="0"/>
              <a:cs typeface="Lato" panose="020F0502020204030203" pitchFamily="34" charset="0"/>
            </a:rPr>
            <a:t>Total Cost</a:t>
          </a:r>
        </a:p>
      </xdr:txBody>
    </xdr:sp>
    <xdr:clientData/>
  </xdr:twoCellAnchor>
  <xdr:twoCellAnchor>
    <xdr:from>
      <xdr:col>9</xdr:col>
      <xdr:colOff>101182</xdr:colOff>
      <xdr:row>5</xdr:row>
      <xdr:rowOff>131405</xdr:rowOff>
    </xdr:from>
    <xdr:to>
      <xdr:col>12</xdr:col>
      <xdr:colOff>98314</xdr:colOff>
      <xdr:row>5</xdr:row>
      <xdr:rowOff>131405</xdr:rowOff>
    </xdr:to>
    <xdr:cxnSp macro="">
      <xdr:nvCxnSpPr>
        <xdr:cNvPr id="52" name="Straight Connector 51">
          <a:extLst>
            <a:ext uri="{FF2B5EF4-FFF2-40B4-BE49-F238E27FC236}">
              <a16:creationId xmlns:a16="http://schemas.microsoft.com/office/drawing/2014/main" id="{6F813605-FE9C-45EB-AA79-E39DBDCF2478}"/>
            </a:ext>
          </a:extLst>
        </xdr:cNvPr>
        <xdr:cNvCxnSpPr/>
      </xdr:nvCxnSpPr>
      <xdr:spPr>
        <a:xfrm>
          <a:off x="7197830" y="1141474"/>
          <a:ext cx="194400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576316</xdr:colOff>
      <xdr:row>5</xdr:row>
      <xdr:rowOff>61226</xdr:rowOff>
    </xdr:from>
    <xdr:to>
      <xdr:col>16</xdr:col>
      <xdr:colOff>52963</xdr:colOff>
      <xdr:row>7</xdr:row>
      <xdr:rowOff>88970</xdr:rowOff>
    </xdr:to>
    <xdr:sp macro="" textlink="Calculation!I4">
      <xdr:nvSpPr>
        <xdr:cNvPr id="59" name="TextBox 58">
          <a:extLst>
            <a:ext uri="{FF2B5EF4-FFF2-40B4-BE49-F238E27FC236}">
              <a16:creationId xmlns:a16="http://schemas.microsoft.com/office/drawing/2014/main" id="{CB8B6E8F-18F4-489D-999F-A533B919BC6B}"/>
            </a:ext>
          </a:extLst>
        </xdr:cNvPr>
        <xdr:cNvSpPr txBox="1"/>
      </xdr:nvSpPr>
      <xdr:spPr>
        <a:xfrm>
          <a:off x="9619832" y="1071295"/>
          <a:ext cx="2072472" cy="394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1851FCD5-1D77-458D-A026-BBF12FA2F9BF}" type="TxLink">
            <a:rPr lang="en-US"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marL="0" indent="0" algn="ctr"/>
            <a:t>Rp 5.145.141.686</a:t>
          </a:fld>
          <a:endParaRPr lang="en-ID"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12</xdr:col>
      <xdr:colOff>576316</xdr:colOff>
      <xdr:row>3</xdr:row>
      <xdr:rowOff>136700</xdr:rowOff>
    </xdr:from>
    <xdr:to>
      <xdr:col>16</xdr:col>
      <xdr:colOff>52963</xdr:colOff>
      <xdr:row>5</xdr:row>
      <xdr:rowOff>164444</xdr:rowOff>
    </xdr:to>
    <xdr:sp macro="" textlink="">
      <xdr:nvSpPr>
        <xdr:cNvPr id="60" name="TextBox 59">
          <a:extLst>
            <a:ext uri="{FF2B5EF4-FFF2-40B4-BE49-F238E27FC236}">
              <a16:creationId xmlns:a16="http://schemas.microsoft.com/office/drawing/2014/main" id="{B424FE5D-E62D-46B8-9C7C-FAAE69A020AC}"/>
            </a:ext>
          </a:extLst>
        </xdr:cNvPr>
        <xdr:cNvSpPr txBox="1"/>
      </xdr:nvSpPr>
      <xdr:spPr>
        <a:xfrm>
          <a:off x="9619832" y="780423"/>
          <a:ext cx="2072472" cy="394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i="0" u="none" strike="noStrike">
              <a:solidFill>
                <a:schemeClr val="bg1"/>
              </a:solidFill>
              <a:latin typeface="Lato" panose="020F0502020204030203" pitchFamily="34" charset="0"/>
              <a:ea typeface="Lato" panose="020F0502020204030203" pitchFamily="34" charset="0"/>
              <a:cs typeface="Lato" panose="020F0502020204030203" pitchFamily="34" charset="0"/>
            </a:rPr>
            <a:t>Total Profit</a:t>
          </a:r>
        </a:p>
      </xdr:txBody>
    </xdr:sp>
    <xdr:clientData/>
  </xdr:twoCellAnchor>
  <xdr:twoCellAnchor>
    <xdr:from>
      <xdr:col>12</xdr:col>
      <xdr:colOff>617555</xdr:colOff>
      <xdr:row>5</xdr:row>
      <xdr:rowOff>131405</xdr:rowOff>
    </xdr:from>
    <xdr:to>
      <xdr:col>15</xdr:col>
      <xdr:colOff>614686</xdr:colOff>
      <xdr:row>5</xdr:row>
      <xdr:rowOff>131405</xdr:rowOff>
    </xdr:to>
    <xdr:cxnSp macro="">
      <xdr:nvCxnSpPr>
        <xdr:cNvPr id="61" name="Straight Connector 60">
          <a:extLst>
            <a:ext uri="{FF2B5EF4-FFF2-40B4-BE49-F238E27FC236}">
              <a16:creationId xmlns:a16="http://schemas.microsoft.com/office/drawing/2014/main" id="{574207C9-D055-4234-AA2A-86C504BA0BCE}"/>
            </a:ext>
          </a:extLst>
        </xdr:cNvPr>
        <xdr:cNvCxnSpPr/>
      </xdr:nvCxnSpPr>
      <xdr:spPr>
        <a:xfrm>
          <a:off x="9661071" y="1141474"/>
          <a:ext cx="194400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2617</xdr:colOff>
      <xdr:row>22</xdr:row>
      <xdr:rowOff>652</xdr:rowOff>
    </xdr:from>
    <xdr:to>
      <xdr:col>6</xdr:col>
      <xdr:colOff>551538</xdr:colOff>
      <xdr:row>29</xdr:row>
      <xdr:rowOff>90040</xdr:rowOff>
    </xdr:to>
    <mc:AlternateContent xmlns:mc="http://schemas.openxmlformats.org/markup-compatibility/2006">
      <mc:Choice xmlns:tsle="http://schemas.microsoft.com/office/drawing/2012/timeslicer" Requires="tsle">
        <xdr:graphicFrame macro="">
          <xdr:nvGraphicFramePr>
            <xdr:cNvPr id="66" name="Date">
              <a:extLst>
                <a:ext uri="{FF2B5EF4-FFF2-40B4-BE49-F238E27FC236}">
                  <a16:creationId xmlns:a16="http://schemas.microsoft.com/office/drawing/2014/main" id="{C3EEFC91-0588-4332-8C6A-D7AD9DE2809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989260" y="4137223"/>
              <a:ext cx="2868939" cy="1375264"/>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6</xdr:col>
      <xdr:colOff>787899</xdr:colOff>
      <xdr:row>22</xdr:row>
      <xdr:rowOff>652</xdr:rowOff>
    </xdr:from>
    <xdr:to>
      <xdr:col>16</xdr:col>
      <xdr:colOff>20411</xdr:colOff>
      <xdr:row>29</xdr:row>
      <xdr:rowOff>90040</xdr:rowOff>
    </xdr:to>
    <mc:AlternateContent xmlns:mc="http://schemas.openxmlformats.org/markup-compatibility/2006">
      <mc:Choice xmlns:tsle="http://schemas.microsoft.com/office/drawing/2012/timeslicer" Requires="tsle">
        <xdr:graphicFrame macro="">
          <xdr:nvGraphicFramePr>
            <xdr:cNvPr id="68" name="Date 1">
              <a:extLst>
                <a:ext uri="{FF2B5EF4-FFF2-40B4-BE49-F238E27FC236}">
                  <a16:creationId xmlns:a16="http://schemas.microsoft.com/office/drawing/2014/main" id="{AF2A2B8A-94D7-48B4-8DFA-C58D6721D2AC}"/>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5094560" y="4137223"/>
              <a:ext cx="6730048" cy="1375264"/>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8</xdr:col>
      <xdr:colOff>349898</xdr:colOff>
      <xdr:row>8</xdr:row>
      <xdr:rowOff>179808</xdr:rowOff>
    </xdr:from>
    <xdr:to>
      <xdr:col>16</xdr:col>
      <xdr:colOff>238124</xdr:colOff>
      <xdr:row>21</xdr:row>
      <xdr:rowOff>4859</xdr:rowOff>
    </xdr:to>
    <mc:AlternateContent xmlns:mc="http://schemas.openxmlformats.org/markup-compatibility/2006">
      <mc:Choice xmlns:cx4="http://schemas.microsoft.com/office/drawing/2016/5/10/chartex" Requires="cx4">
        <xdr:graphicFrame macro="">
          <xdr:nvGraphicFramePr>
            <xdr:cNvPr id="69" name="Chart 68">
              <a:extLst>
                <a:ext uri="{FF2B5EF4-FFF2-40B4-BE49-F238E27FC236}">
                  <a16:creationId xmlns:a16="http://schemas.microsoft.com/office/drawing/2014/main" id="{8C27FBF5-9212-4E0E-BF94-8FAE54C9A6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98712" y="1725191"/>
              <a:ext cx="5058941" cy="2162564"/>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157005</xdr:colOff>
      <xdr:row>2</xdr:row>
      <xdr:rowOff>107233</xdr:rowOff>
    </xdr:from>
    <xdr:to>
      <xdr:col>3</xdr:col>
      <xdr:colOff>3552</xdr:colOff>
      <xdr:row>10</xdr:row>
      <xdr:rowOff>177940</xdr:rowOff>
    </xdr:to>
    <mc:AlternateContent xmlns:mc="http://schemas.openxmlformats.org/markup-compatibility/2006">
      <mc:Choice xmlns:a14="http://schemas.microsoft.com/office/drawing/2010/main" Requires="a14">
        <xdr:graphicFrame macro="">
          <xdr:nvGraphicFramePr>
            <xdr:cNvPr id="2" name="Segment 1">
              <a:extLst>
                <a:ext uri="{FF2B5EF4-FFF2-40B4-BE49-F238E27FC236}">
                  <a16:creationId xmlns:a16="http://schemas.microsoft.com/office/drawing/2014/main" id="{86EF8EE7-F6AC-4859-B83D-0E3D3680A0E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57005" y="637912"/>
              <a:ext cx="1635887" cy="147224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151772</xdr:colOff>
      <xdr:row>11</xdr:row>
      <xdr:rowOff>31401</xdr:rowOff>
    </xdr:from>
    <xdr:to>
      <xdr:col>2</xdr:col>
      <xdr:colOff>491951</xdr:colOff>
      <xdr:row>29</xdr:row>
      <xdr:rowOff>92335</xdr:rowOff>
    </xdr:to>
    <mc:AlternateContent xmlns:mc="http://schemas.openxmlformats.org/markup-compatibility/2006">
      <mc:Choice xmlns:a14="http://schemas.microsoft.com/office/drawing/2010/main" Requires="a14">
        <xdr:graphicFrame macro="">
          <xdr:nvGraphicFramePr>
            <xdr:cNvPr id="3" name="Country 1">
              <a:extLst>
                <a:ext uri="{FF2B5EF4-FFF2-40B4-BE49-F238E27FC236}">
                  <a16:creationId xmlns:a16="http://schemas.microsoft.com/office/drawing/2014/main" id="{D0C6A019-1318-4592-A3B8-2C3AC9479D2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51772" y="2147312"/>
              <a:ext cx="1632858" cy="336747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10467</xdr:colOff>
      <xdr:row>3</xdr:row>
      <xdr:rowOff>151772</xdr:rowOff>
    </xdr:from>
    <xdr:to>
      <xdr:col>16</xdr:col>
      <xdr:colOff>256442</xdr:colOff>
      <xdr:row>7</xdr:row>
      <xdr:rowOff>172706</xdr:rowOff>
    </xdr:to>
    <xdr:sp macro="" textlink="">
      <xdr:nvSpPr>
        <xdr:cNvPr id="4" name="Rectangle: Rounded Corners 3">
          <a:extLst>
            <a:ext uri="{FF2B5EF4-FFF2-40B4-BE49-F238E27FC236}">
              <a16:creationId xmlns:a16="http://schemas.microsoft.com/office/drawing/2014/main" id="{96BF068E-6DBF-4359-A45B-5557D5BF725A}"/>
            </a:ext>
          </a:extLst>
        </xdr:cNvPr>
        <xdr:cNvSpPr/>
      </xdr:nvSpPr>
      <xdr:spPr>
        <a:xfrm>
          <a:off x="2001192" y="794710"/>
          <a:ext cx="9890038" cy="744834"/>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236137</xdr:colOff>
      <xdr:row>5</xdr:row>
      <xdr:rowOff>61226</xdr:rowOff>
    </xdr:from>
    <xdr:to>
      <xdr:col>6</xdr:col>
      <xdr:colOff>100065</xdr:colOff>
      <xdr:row>7</xdr:row>
      <xdr:rowOff>88970</xdr:rowOff>
    </xdr:to>
    <xdr:sp macro="" textlink="Calculation!F4">
      <xdr:nvSpPr>
        <xdr:cNvPr id="5" name="TextBox 4">
          <a:extLst>
            <a:ext uri="{FF2B5EF4-FFF2-40B4-BE49-F238E27FC236}">
              <a16:creationId xmlns:a16="http://schemas.microsoft.com/office/drawing/2014/main" id="{BA8D3455-EDF7-4DFB-9547-7B2FB0148FD9}"/>
            </a:ext>
          </a:extLst>
        </xdr:cNvPr>
        <xdr:cNvSpPr txBox="1"/>
      </xdr:nvSpPr>
      <xdr:spPr>
        <a:xfrm>
          <a:off x="2226862" y="1066114"/>
          <a:ext cx="2064203" cy="38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1CE8B34E-D13D-4D77-848B-E94A77C3286A}" type="TxLink">
            <a:rPr lang="en-US"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algn="ctr"/>
            <a:t>Rp 25.728.657.750</a:t>
          </a:fld>
          <a:endParaRPr lang="en-ID" sz="14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4</xdr:col>
      <xdr:colOff>236137</xdr:colOff>
      <xdr:row>3</xdr:row>
      <xdr:rowOff>136700</xdr:rowOff>
    </xdr:from>
    <xdr:to>
      <xdr:col>6</xdr:col>
      <xdr:colOff>100065</xdr:colOff>
      <xdr:row>5</xdr:row>
      <xdr:rowOff>164444</xdr:rowOff>
    </xdr:to>
    <xdr:sp macro="" textlink="">
      <xdr:nvSpPr>
        <xdr:cNvPr id="6" name="TextBox 5">
          <a:extLst>
            <a:ext uri="{FF2B5EF4-FFF2-40B4-BE49-F238E27FC236}">
              <a16:creationId xmlns:a16="http://schemas.microsoft.com/office/drawing/2014/main" id="{9CE322AA-8D13-4488-9B3F-E9C5FA2E65DB}"/>
            </a:ext>
          </a:extLst>
        </xdr:cNvPr>
        <xdr:cNvSpPr txBox="1"/>
      </xdr:nvSpPr>
      <xdr:spPr>
        <a:xfrm>
          <a:off x="2226862" y="779638"/>
          <a:ext cx="2064203" cy="38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i="0" u="none" strike="noStrike">
              <a:solidFill>
                <a:schemeClr val="bg1"/>
              </a:solidFill>
              <a:latin typeface="Lato" panose="020F0502020204030203" pitchFamily="34" charset="0"/>
              <a:ea typeface="Lato" panose="020F0502020204030203" pitchFamily="34" charset="0"/>
              <a:cs typeface="Lato" panose="020F0502020204030203" pitchFamily="34" charset="0"/>
            </a:rPr>
            <a:t>Total Revenue</a:t>
          </a:r>
        </a:p>
      </xdr:txBody>
    </xdr:sp>
    <xdr:clientData/>
  </xdr:twoCellAnchor>
  <xdr:twoCellAnchor>
    <xdr:from>
      <xdr:col>4</xdr:col>
      <xdr:colOff>277376</xdr:colOff>
      <xdr:row>5</xdr:row>
      <xdr:rowOff>131405</xdr:rowOff>
    </xdr:from>
    <xdr:to>
      <xdr:col>6</xdr:col>
      <xdr:colOff>12832</xdr:colOff>
      <xdr:row>5</xdr:row>
      <xdr:rowOff>131405</xdr:rowOff>
    </xdr:to>
    <xdr:cxnSp macro="">
      <xdr:nvCxnSpPr>
        <xdr:cNvPr id="7" name="Straight Connector 6">
          <a:extLst>
            <a:ext uri="{FF2B5EF4-FFF2-40B4-BE49-F238E27FC236}">
              <a16:creationId xmlns:a16="http://schemas.microsoft.com/office/drawing/2014/main" id="{11D51FC0-DF3A-4803-AD85-EB8D8F1F9F90}"/>
            </a:ext>
          </a:extLst>
        </xdr:cNvPr>
        <xdr:cNvCxnSpPr/>
      </xdr:nvCxnSpPr>
      <xdr:spPr>
        <a:xfrm>
          <a:off x="2268101" y="1136293"/>
          <a:ext cx="1935731"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490835</xdr:colOff>
      <xdr:row>5</xdr:row>
      <xdr:rowOff>61226</xdr:rowOff>
    </xdr:from>
    <xdr:to>
      <xdr:col>8</xdr:col>
      <xdr:colOff>318129</xdr:colOff>
      <xdr:row>7</xdr:row>
      <xdr:rowOff>88970</xdr:rowOff>
    </xdr:to>
    <xdr:sp macro="" textlink="Calculation!G4">
      <xdr:nvSpPr>
        <xdr:cNvPr id="8" name="TextBox 7">
          <a:extLst>
            <a:ext uri="{FF2B5EF4-FFF2-40B4-BE49-F238E27FC236}">
              <a16:creationId xmlns:a16="http://schemas.microsoft.com/office/drawing/2014/main" id="{45B53672-B9A2-4709-8ECB-C05BD9DEB224}"/>
            </a:ext>
          </a:extLst>
        </xdr:cNvPr>
        <xdr:cNvSpPr txBox="1"/>
      </xdr:nvSpPr>
      <xdr:spPr>
        <a:xfrm>
          <a:off x="4681835" y="1066114"/>
          <a:ext cx="2089482" cy="38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2B214DCB-7F96-48C6-9522-A16832D84461}" type="TxLink">
            <a:rPr lang="en-US"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marL="0" indent="0" algn="ctr"/>
            <a:t>Rp 1.533.803</a:t>
          </a:fld>
          <a:endParaRPr lang="en-ID"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6</xdr:col>
      <xdr:colOff>490835</xdr:colOff>
      <xdr:row>3</xdr:row>
      <xdr:rowOff>136700</xdr:rowOff>
    </xdr:from>
    <xdr:to>
      <xdr:col>8</xdr:col>
      <xdr:colOff>318129</xdr:colOff>
      <xdr:row>5</xdr:row>
      <xdr:rowOff>164444</xdr:rowOff>
    </xdr:to>
    <xdr:sp macro="" textlink="">
      <xdr:nvSpPr>
        <xdr:cNvPr id="9" name="TextBox 8">
          <a:extLst>
            <a:ext uri="{FF2B5EF4-FFF2-40B4-BE49-F238E27FC236}">
              <a16:creationId xmlns:a16="http://schemas.microsoft.com/office/drawing/2014/main" id="{69F823F6-D592-4E0F-B000-E3546AD8B612}"/>
            </a:ext>
          </a:extLst>
        </xdr:cNvPr>
        <xdr:cNvSpPr txBox="1"/>
      </xdr:nvSpPr>
      <xdr:spPr>
        <a:xfrm>
          <a:off x="4681835" y="779638"/>
          <a:ext cx="2089482" cy="38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i="0" u="none" strike="noStrike">
              <a:solidFill>
                <a:schemeClr val="bg1"/>
              </a:solidFill>
              <a:latin typeface="Lato" panose="020F0502020204030203" pitchFamily="34" charset="0"/>
              <a:ea typeface="Lato" panose="020F0502020204030203" pitchFamily="34" charset="0"/>
              <a:cs typeface="Lato" panose="020F0502020204030203" pitchFamily="34" charset="0"/>
            </a:rPr>
            <a:t>Total Quantity</a:t>
          </a:r>
          <a:r>
            <a:rPr lang="en-US" sz="1200" b="0"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rPr>
            <a:t> Sold</a:t>
          </a:r>
          <a:endParaRPr lang="en-US" sz="1200" b="0"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6</xdr:col>
      <xdr:colOff>532074</xdr:colOff>
      <xdr:row>5</xdr:row>
      <xdr:rowOff>131405</xdr:rowOff>
    </xdr:from>
    <xdr:to>
      <xdr:col>8</xdr:col>
      <xdr:colOff>230896</xdr:colOff>
      <xdr:row>5</xdr:row>
      <xdr:rowOff>131405</xdr:rowOff>
    </xdr:to>
    <xdr:cxnSp macro="">
      <xdr:nvCxnSpPr>
        <xdr:cNvPr id="10" name="Straight Connector 9">
          <a:extLst>
            <a:ext uri="{FF2B5EF4-FFF2-40B4-BE49-F238E27FC236}">
              <a16:creationId xmlns:a16="http://schemas.microsoft.com/office/drawing/2014/main" id="{5CC68367-60B8-4AB8-9440-0C4D35B55AAC}"/>
            </a:ext>
          </a:extLst>
        </xdr:cNvPr>
        <xdr:cNvCxnSpPr/>
      </xdr:nvCxnSpPr>
      <xdr:spPr>
        <a:xfrm>
          <a:off x="4723074" y="1136293"/>
          <a:ext cx="196101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59943</xdr:colOff>
      <xdr:row>5</xdr:row>
      <xdr:rowOff>45526</xdr:rowOff>
    </xdr:from>
    <xdr:to>
      <xdr:col>12</xdr:col>
      <xdr:colOff>185547</xdr:colOff>
      <xdr:row>7</xdr:row>
      <xdr:rowOff>73270</xdr:rowOff>
    </xdr:to>
    <xdr:sp macro="" textlink="Calculation!H4">
      <xdr:nvSpPr>
        <xdr:cNvPr id="11" name="TextBox 10">
          <a:extLst>
            <a:ext uri="{FF2B5EF4-FFF2-40B4-BE49-F238E27FC236}">
              <a16:creationId xmlns:a16="http://schemas.microsoft.com/office/drawing/2014/main" id="{90B2CDCB-5A39-4F08-8E25-FF00B586F57F}"/>
            </a:ext>
          </a:extLst>
        </xdr:cNvPr>
        <xdr:cNvSpPr txBox="1"/>
      </xdr:nvSpPr>
      <xdr:spPr>
        <a:xfrm>
          <a:off x="7160831" y="1050414"/>
          <a:ext cx="2068704" cy="38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E161D91E-9235-43C6-B611-88636E702556}" type="TxLink">
            <a:rPr lang="en-US"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marL="0" indent="0" algn="ctr"/>
            <a:t>Rp 20.583.516.064</a:t>
          </a:fld>
          <a:endParaRPr lang="en-ID"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9</xdr:col>
      <xdr:colOff>59943</xdr:colOff>
      <xdr:row>3</xdr:row>
      <xdr:rowOff>136700</xdr:rowOff>
    </xdr:from>
    <xdr:to>
      <xdr:col>12</xdr:col>
      <xdr:colOff>185547</xdr:colOff>
      <xdr:row>5</xdr:row>
      <xdr:rowOff>164444</xdr:rowOff>
    </xdr:to>
    <xdr:sp macro="" textlink="">
      <xdr:nvSpPr>
        <xdr:cNvPr id="12" name="TextBox 11">
          <a:extLst>
            <a:ext uri="{FF2B5EF4-FFF2-40B4-BE49-F238E27FC236}">
              <a16:creationId xmlns:a16="http://schemas.microsoft.com/office/drawing/2014/main" id="{C144F984-0ADA-4406-B52F-050D3EBBED22}"/>
            </a:ext>
          </a:extLst>
        </xdr:cNvPr>
        <xdr:cNvSpPr txBox="1"/>
      </xdr:nvSpPr>
      <xdr:spPr>
        <a:xfrm>
          <a:off x="7160831" y="779638"/>
          <a:ext cx="2068704" cy="38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i="0" u="none" strike="noStrike">
              <a:solidFill>
                <a:schemeClr val="bg1"/>
              </a:solidFill>
              <a:latin typeface="Lato" panose="020F0502020204030203" pitchFamily="34" charset="0"/>
              <a:ea typeface="Lato" panose="020F0502020204030203" pitchFamily="34" charset="0"/>
              <a:cs typeface="Lato" panose="020F0502020204030203" pitchFamily="34" charset="0"/>
            </a:rPr>
            <a:t>Total Cost</a:t>
          </a:r>
        </a:p>
      </xdr:txBody>
    </xdr:sp>
    <xdr:clientData/>
  </xdr:twoCellAnchor>
  <xdr:twoCellAnchor>
    <xdr:from>
      <xdr:col>9</xdr:col>
      <xdr:colOff>101182</xdr:colOff>
      <xdr:row>5</xdr:row>
      <xdr:rowOff>131405</xdr:rowOff>
    </xdr:from>
    <xdr:to>
      <xdr:col>12</xdr:col>
      <xdr:colOff>98314</xdr:colOff>
      <xdr:row>5</xdr:row>
      <xdr:rowOff>131405</xdr:rowOff>
    </xdr:to>
    <xdr:cxnSp macro="">
      <xdr:nvCxnSpPr>
        <xdr:cNvPr id="13" name="Straight Connector 12">
          <a:extLst>
            <a:ext uri="{FF2B5EF4-FFF2-40B4-BE49-F238E27FC236}">
              <a16:creationId xmlns:a16="http://schemas.microsoft.com/office/drawing/2014/main" id="{AF26D507-CC57-4EE0-85A4-91ED645FD4D1}"/>
            </a:ext>
          </a:extLst>
        </xdr:cNvPr>
        <xdr:cNvCxnSpPr/>
      </xdr:nvCxnSpPr>
      <xdr:spPr>
        <a:xfrm>
          <a:off x="7202070" y="1136293"/>
          <a:ext cx="1940232"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576316</xdr:colOff>
      <xdr:row>5</xdr:row>
      <xdr:rowOff>61226</xdr:rowOff>
    </xdr:from>
    <xdr:to>
      <xdr:col>16</xdr:col>
      <xdr:colOff>52963</xdr:colOff>
      <xdr:row>7</xdr:row>
      <xdr:rowOff>88970</xdr:rowOff>
    </xdr:to>
    <xdr:sp macro="" textlink="Calculation!I4">
      <xdr:nvSpPr>
        <xdr:cNvPr id="14" name="TextBox 13">
          <a:extLst>
            <a:ext uri="{FF2B5EF4-FFF2-40B4-BE49-F238E27FC236}">
              <a16:creationId xmlns:a16="http://schemas.microsoft.com/office/drawing/2014/main" id="{EB3DB935-E57D-41D1-90FD-066C632AEBE4}"/>
            </a:ext>
          </a:extLst>
        </xdr:cNvPr>
        <xdr:cNvSpPr txBox="1"/>
      </xdr:nvSpPr>
      <xdr:spPr>
        <a:xfrm>
          <a:off x="9620304" y="1066114"/>
          <a:ext cx="2067447" cy="38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1851FCD5-1D77-458D-A026-BBF12FA2F9BF}" type="TxLink">
            <a:rPr lang="en-US"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marL="0" indent="0" algn="ctr"/>
            <a:t>Rp 5.145.141.686</a:t>
          </a:fld>
          <a:endParaRPr lang="en-ID" sz="14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12</xdr:col>
      <xdr:colOff>576316</xdr:colOff>
      <xdr:row>3</xdr:row>
      <xdr:rowOff>136700</xdr:rowOff>
    </xdr:from>
    <xdr:to>
      <xdr:col>16</xdr:col>
      <xdr:colOff>52963</xdr:colOff>
      <xdr:row>5</xdr:row>
      <xdr:rowOff>164444</xdr:rowOff>
    </xdr:to>
    <xdr:sp macro="" textlink="">
      <xdr:nvSpPr>
        <xdr:cNvPr id="15" name="TextBox 14">
          <a:extLst>
            <a:ext uri="{FF2B5EF4-FFF2-40B4-BE49-F238E27FC236}">
              <a16:creationId xmlns:a16="http://schemas.microsoft.com/office/drawing/2014/main" id="{048F69FB-E345-46B9-AB6F-00B8920EC8D0}"/>
            </a:ext>
          </a:extLst>
        </xdr:cNvPr>
        <xdr:cNvSpPr txBox="1"/>
      </xdr:nvSpPr>
      <xdr:spPr>
        <a:xfrm>
          <a:off x="9620304" y="779638"/>
          <a:ext cx="2067447" cy="38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i="0" u="none" strike="noStrike">
              <a:solidFill>
                <a:schemeClr val="bg1"/>
              </a:solidFill>
              <a:latin typeface="Lato" panose="020F0502020204030203" pitchFamily="34" charset="0"/>
              <a:ea typeface="Lato" panose="020F0502020204030203" pitchFamily="34" charset="0"/>
              <a:cs typeface="Lato" panose="020F0502020204030203" pitchFamily="34" charset="0"/>
            </a:rPr>
            <a:t>Total Profit</a:t>
          </a:r>
        </a:p>
      </xdr:txBody>
    </xdr:sp>
    <xdr:clientData/>
  </xdr:twoCellAnchor>
  <xdr:twoCellAnchor>
    <xdr:from>
      <xdr:col>12</xdr:col>
      <xdr:colOff>617555</xdr:colOff>
      <xdr:row>5</xdr:row>
      <xdr:rowOff>131405</xdr:rowOff>
    </xdr:from>
    <xdr:to>
      <xdr:col>15</xdr:col>
      <xdr:colOff>614686</xdr:colOff>
      <xdr:row>5</xdr:row>
      <xdr:rowOff>131405</xdr:rowOff>
    </xdr:to>
    <xdr:cxnSp macro="">
      <xdr:nvCxnSpPr>
        <xdr:cNvPr id="16" name="Straight Connector 15">
          <a:extLst>
            <a:ext uri="{FF2B5EF4-FFF2-40B4-BE49-F238E27FC236}">
              <a16:creationId xmlns:a16="http://schemas.microsoft.com/office/drawing/2014/main" id="{22A52030-4C23-4E34-B430-73582978F6BF}"/>
            </a:ext>
          </a:extLst>
        </xdr:cNvPr>
        <xdr:cNvCxnSpPr/>
      </xdr:nvCxnSpPr>
      <xdr:spPr>
        <a:xfrm>
          <a:off x="9661543" y="1136293"/>
          <a:ext cx="1940231"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2617</xdr:colOff>
      <xdr:row>22</xdr:row>
      <xdr:rowOff>652</xdr:rowOff>
    </xdr:from>
    <xdr:to>
      <xdr:col>6</xdr:col>
      <xdr:colOff>669143</xdr:colOff>
      <xdr:row>29</xdr:row>
      <xdr:rowOff>90040</xdr:rowOff>
    </xdr:to>
    <mc:AlternateContent xmlns:mc="http://schemas.openxmlformats.org/markup-compatibility/2006">
      <mc:Choice xmlns:tsle="http://schemas.microsoft.com/office/drawing/2012/timeslicer" Requires="tsle">
        <xdr:graphicFrame macro="">
          <xdr:nvGraphicFramePr>
            <xdr:cNvPr id="17" name="Date 2">
              <a:extLst>
                <a:ext uri="{FF2B5EF4-FFF2-40B4-BE49-F238E27FC236}">
                  <a16:creationId xmlns:a16="http://schemas.microsoft.com/office/drawing/2014/main" id="{C25388E8-20C9-4CC5-91E9-8BF9400BD84D}"/>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1989260" y="4137223"/>
              <a:ext cx="2870883" cy="1375264"/>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6</xdr:col>
      <xdr:colOff>787898</xdr:colOff>
      <xdr:row>22</xdr:row>
      <xdr:rowOff>652</xdr:rowOff>
    </xdr:from>
    <xdr:to>
      <xdr:col>16</xdr:col>
      <xdr:colOff>252703</xdr:colOff>
      <xdr:row>29</xdr:row>
      <xdr:rowOff>90040</xdr:rowOff>
    </xdr:to>
    <mc:AlternateContent xmlns:mc="http://schemas.openxmlformats.org/markup-compatibility/2006">
      <mc:Choice xmlns:tsle="http://schemas.microsoft.com/office/drawing/2012/timeslicer" Requires="tsle">
        <xdr:graphicFrame macro="">
          <xdr:nvGraphicFramePr>
            <xdr:cNvPr id="18" name="Date 3">
              <a:extLst>
                <a:ext uri="{FF2B5EF4-FFF2-40B4-BE49-F238E27FC236}">
                  <a16:creationId xmlns:a16="http://schemas.microsoft.com/office/drawing/2014/main" id="{47806C3D-ED7E-43C8-B7F7-02F68A5756CB}"/>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4978898" y="4137223"/>
              <a:ext cx="6901109" cy="1375264"/>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3</xdr:col>
      <xdr:colOff>184669</xdr:colOff>
      <xdr:row>9</xdr:row>
      <xdr:rowOff>0</xdr:rowOff>
    </xdr:from>
    <xdr:to>
      <xdr:col>8</xdr:col>
      <xdr:colOff>96222</xdr:colOff>
      <xdr:row>21</xdr:row>
      <xdr:rowOff>48596</xdr:rowOff>
    </xdr:to>
    <xdr:graphicFrame macro="">
      <xdr:nvGraphicFramePr>
        <xdr:cNvPr id="21" name="Chart 20">
          <a:extLst>
            <a:ext uri="{FF2B5EF4-FFF2-40B4-BE49-F238E27FC236}">
              <a16:creationId xmlns:a16="http://schemas.microsoft.com/office/drawing/2014/main" id="{E253AC6E-B326-4381-B734-8AB6B11C8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432514</xdr:colOff>
      <xdr:row>9</xdr:row>
      <xdr:rowOff>29157</xdr:rowOff>
    </xdr:from>
    <xdr:to>
      <xdr:col>16</xdr:col>
      <xdr:colOff>252703</xdr:colOff>
      <xdr:row>20</xdr:row>
      <xdr:rowOff>106913</xdr:rowOff>
    </xdr:to>
    <xdr:graphicFrame macro="">
      <xdr:nvGraphicFramePr>
        <xdr:cNvPr id="22" name="Chart 21">
          <a:extLst>
            <a:ext uri="{FF2B5EF4-FFF2-40B4-BE49-F238E27FC236}">
              <a16:creationId xmlns:a16="http://schemas.microsoft.com/office/drawing/2014/main" id="{CEC96D16-5D12-464A-8B89-48F806F0C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in Arya" refreshedDate="46207.01994085648" createdVersion="7" refreshedVersion="7" minRefreshableVersion="3" recordCount="1000" xr:uid="{F8407F06-9984-4A71-8AF5-791DD3397438}">
  <cacheSource type="worksheet">
    <worksheetSource name="Table1"/>
  </cacheSource>
  <cacheFields count="12">
    <cacheField name="Segment" numFmtId="0">
      <sharedItems count="4">
        <s v="Channel Partners"/>
        <s v="Enterprise"/>
        <s v="Government"/>
        <s v="Midmarket"/>
      </sharedItems>
    </cacheField>
    <cacheField name="Country" numFmtId="0">
      <sharedItems count="10">
        <s v="Singapore"/>
        <s v="Laos"/>
        <s v="Brunei"/>
        <s v="Indonesia"/>
        <s v="Philippines"/>
        <s v="Thailand"/>
        <s v="Vietnam"/>
        <s v="Cambodia"/>
        <s v="Myanmar"/>
        <s v="Malaysia"/>
      </sharedItems>
    </cacheField>
    <cacheField name="Product" numFmtId="0">
      <sharedItems count="10">
        <s v="Gula Gulaku"/>
        <s v="Ultra Milk"/>
        <s v="Teh Botol"/>
        <s v="Biskuat"/>
        <s v="Indomie"/>
        <s v="Sari Roti"/>
        <s v="Tango"/>
        <s v="Aqua"/>
        <s v="Nugget Fiesta"/>
        <s v="Chitato"/>
      </sharedItems>
    </cacheField>
    <cacheField name="Discount Band" numFmtId="0">
      <sharedItems/>
    </cacheField>
    <cacheField name="Units Sold" numFmtId="165">
      <sharedItems containsSemiMixedTypes="0" containsString="0" containsNumber="1" containsInteger="1" minValue="106" maxValue="2999"/>
    </cacheField>
    <cacheField name="Manufacturing Price" numFmtId="166">
      <sharedItems containsSemiMixedTypes="0" containsString="0" containsNumber="1" containsInteger="1" minValue="1500" maxValue="24900"/>
    </cacheField>
    <cacheField name="Sale Price" numFmtId="166">
      <sharedItems containsSemiMixedTypes="0" containsString="0" containsNumber="1" containsInteger="1" minValue="1875" maxValue="31125"/>
    </cacheField>
    <cacheField name="Sales" numFmtId="166">
      <sharedItems containsSemiMixedTypes="0" containsString="0" containsNumber="1" containsInteger="1" minValue="423750" maxValue="90774000"/>
    </cacheField>
    <cacheField name="COGS" numFmtId="166">
      <sharedItems containsSemiMixedTypes="0" containsString="0" containsNumber="1" containsInteger="1" minValue="339000" maxValue="72619200"/>
    </cacheField>
    <cacheField name="Profit" numFmtId="166">
      <sharedItems containsSemiMixedTypes="0" containsString="0" containsNumber="1" containsInteger="1" minValue="84750" maxValue="18154800"/>
    </cacheField>
    <cacheField name="Date" numFmtId="167">
      <sharedItems containsSemiMixedTypes="0" containsNonDate="0" containsDate="1" containsString="0" minDate="2025-01-01T00:00:00" maxDate="2026-01-01T00:00:00" count="341">
        <d v="2025-01-01T00:00:00"/>
        <d v="2025-01-06T00:00:00"/>
        <d v="2025-01-10T00:00:00"/>
        <d v="2025-01-12T00:00:00"/>
        <d v="2025-01-14T00:00:00"/>
        <d v="2025-01-16T00:00:00"/>
        <d v="2025-01-17T00:00:00"/>
        <d v="2025-01-18T00:00:00"/>
        <d v="2025-01-21T00:00:00"/>
        <d v="2025-01-22T00:00:00"/>
        <d v="2025-01-23T00:00:00"/>
        <d v="2025-01-25T00:00:00"/>
        <d v="2025-01-26T00:00:00"/>
        <d v="2025-01-27T00:00:00"/>
        <d v="2025-01-29T00:00:00"/>
        <d v="2025-01-31T00:00:00"/>
        <d v="2025-02-05T00:00:00"/>
        <d v="2025-02-07T00:00:00"/>
        <d v="2025-02-09T00:00:00"/>
        <d v="2025-02-12T00:00:00"/>
        <d v="2025-02-14T00:00:00"/>
        <d v="2025-02-15T00:00:00"/>
        <d v="2025-02-16T00:00:00"/>
        <d v="2025-02-18T00:00:00"/>
        <d v="2025-02-19T00:00:00"/>
        <d v="2025-02-20T00:00:00"/>
        <d v="2025-02-21T00:00:00"/>
        <d v="2025-02-24T00:00:00"/>
        <d v="2025-03-01T00:00:00"/>
        <d v="2025-03-02T00:00:00"/>
        <d v="2025-03-07T00:00:00"/>
        <d v="2025-03-10T00:00:00"/>
        <d v="2025-03-12T00:00:00"/>
        <d v="2025-03-13T00:00:00"/>
        <d v="2025-03-14T00:00:00"/>
        <d v="2025-03-15T00:00:00"/>
        <d v="2025-03-17T00:00:00"/>
        <d v="2025-03-18T00:00:00"/>
        <d v="2025-03-20T00:00:00"/>
        <d v="2025-03-21T00:00:00"/>
        <d v="2025-03-22T00:00:00"/>
        <d v="2025-03-23T00:00:00"/>
        <d v="2025-03-29T00:00:00"/>
        <d v="2025-03-30T00:00:00"/>
        <d v="2025-03-31T00:00:00"/>
        <d v="2025-04-04T00:00:00"/>
        <d v="2025-04-06T00:00:00"/>
        <d v="2025-04-08T00:00:00"/>
        <d v="2025-04-10T00:00:00"/>
        <d v="2025-04-13T00:00:00"/>
        <d v="2025-04-15T00:00:00"/>
        <d v="2025-04-17T00:00:00"/>
        <d v="2025-04-18T00:00:00"/>
        <d v="2025-04-19T00:00:00"/>
        <d v="2025-04-22T00:00:00"/>
        <d v="2025-04-25T00:00:00"/>
        <d v="2025-04-27T00:00:00"/>
        <d v="2025-04-29T00:00:00"/>
        <d v="2025-05-01T00:00:00"/>
        <d v="2025-05-02T00:00:00"/>
        <d v="2025-05-03T00:00:00"/>
        <d v="2025-05-05T00:00:00"/>
        <d v="2025-05-09T00:00:00"/>
        <d v="2025-05-10T00:00:00"/>
        <d v="2025-05-11T00:00:00"/>
        <d v="2025-05-12T00:00:00"/>
        <d v="2025-05-14T00:00:00"/>
        <d v="2025-05-15T00:00:00"/>
        <d v="2025-05-16T00:00:00"/>
        <d v="2025-05-19T00:00:00"/>
        <d v="2025-05-21T00:00:00"/>
        <d v="2025-05-24T00:00:00"/>
        <d v="2025-05-27T00:00:00"/>
        <d v="2025-05-29T00:00:00"/>
        <d v="2025-05-30T00:00:00"/>
        <d v="2025-05-31T00:00:00"/>
        <d v="2025-06-04T00:00:00"/>
        <d v="2025-06-05T00:00:00"/>
        <d v="2025-06-08T00:00:00"/>
        <d v="2025-06-09T00:00:00"/>
        <d v="2025-06-13T00:00:00"/>
        <d v="2025-06-14T00:00:00"/>
        <d v="2025-06-17T00:00:00"/>
        <d v="2025-06-22T00:00:00"/>
        <d v="2025-06-26T00:00:00"/>
        <d v="2025-06-27T00:00:00"/>
        <d v="2025-06-30T00:00:00"/>
        <d v="2025-07-01T00:00:00"/>
        <d v="2025-07-06T00:00:00"/>
        <d v="2025-07-07T00:00:00"/>
        <d v="2025-07-10T00:00:00"/>
        <d v="2025-07-12T00:00:00"/>
        <d v="2025-07-13T00:00:00"/>
        <d v="2025-07-17T00:00:00"/>
        <d v="2025-07-20T00:00:00"/>
        <d v="2025-07-22T00:00:00"/>
        <d v="2025-07-23T00:00:00"/>
        <d v="2025-07-24T00:00:00"/>
        <d v="2025-07-26T00:00:00"/>
        <d v="2025-07-27T00:00:00"/>
        <d v="2025-07-30T00:00:00"/>
        <d v="2025-07-31T00:00:00"/>
        <d v="2025-08-01T00:00:00"/>
        <d v="2025-08-02T00:00:00"/>
        <d v="2025-08-07T00:00:00"/>
        <d v="2025-08-11T00:00:00"/>
        <d v="2025-08-12T00:00:00"/>
        <d v="2025-08-13T00:00:00"/>
        <d v="2025-08-14T00:00:00"/>
        <d v="2025-08-17T00:00:00"/>
        <d v="2025-08-20T00:00:00"/>
        <d v="2025-08-21T00:00:00"/>
        <d v="2025-08-24T00:00:00"/>
        <d v="2025-08-25T00:00:00"/>
        <d v="2025-08-26T00:00:00"/>
        <d v="2025-08-28T00:00:00"/>
        <d v="2025-08-29T00:00:00"/>
        <d v="2025-08-30T00:00:00"/>
        <d v="2025-08-31T00:00:00"/>
        <d v="2025-09-04T00:00:00"/>
        <d v="2025-09-06T00:00:00"/>
        <d v="2025-09-09T00:00:00"/>
        <d v="2025-09-11T00:00:00"/>
        <d v="2025-09-13T00:00:00"/>
        <d v="2025-09-14T00:00:00"/>
        <d v="2025-09-15T00:00:00"/>
        <d v="2025-09-16T00:00:00"/>
        <d v="2025-09-17T00:00:00"/>
        <d v="2025-09-21T00:00:00"/>
        <d v="2025-09-25T00:00:00"/>
        <d v="2025-09-28T00:00:00"/>
        <d v="2025-10-02T00:00:00"/>
        <d v="2025-10-05T00:00:00"/>
        <d v="2025-10-06T00:00:00"/>
        <d v="2025-10-07T00:00:00"/>
        <d v="2025-10-10T00:00:00"/>
        <d v="2025-10-11T00:00:00"/>
        <d v="2025-10-12T00:00:00"/>
        <d v="2025-10-14T00:00:00"/>
        <d v="2025-10-19T00:00:00"/>
        <d v="2025-10-20T00:00:00"/>
        <d v="2025-10-24T00:00:00"/>
        <d v="2025-10-27T00:00:00"/>
        <d v="2025-10-30T00:00:00"/>
        <d v="2025-10-31T00:00:00"/>
        <d v="2025-11-01T00:00:00"/>
        <d v="2025-11-10T00:00:00"/>
        <d v="2025-11-13T00:00:00"/>
        <d v="2025-11-15T00:00:00"/>
        <d v="2025-11-16T00:00:00"/>
        <d v="2025-11-17T00:00:00"/>
        <d v="2025-11-18T00:00:00"/>
        <d v="2025-11-20T00:00:00"/>
        <d v="2025-11-21T00:00:00"/>
        <d v="2025-11-22T00:00:00"/>
        <d v="2025-11-23T00:00:00"/>
        <d v="2025-11-25T00:00:00"/>
        <d v="2025-11-26T00:00:00"/>
        <d v="2025-11-27T00:00:00"/>
        <d v="2025-11-28T00:00:00"/>
        <d v="2025-12-01T00:00:00"/>
        <d v="2025-12-03T00:00:00"/>
        <d v="2025-12-05T00:00:00"/>
        <d v="2025-12-08T00:00:00"/>
        <d v="2025-12-10T00:00:00"/>
        <d v="2025-12-13T00:00:00"/>
        <d v="2025-12-14T00:00:00"/>
        <d v="2025-12-16T00:00:00"/>
        <d v="2025-12-18T00:00:00"/>
        <d v="2025-12-19T00:00:00"/>
        <d v="2025-12-20T00:00:00"/>
        <d v="2025-12-22T00:00:00"/>
        <d v="2025-12-23T00:00:00"/>
        <d v="2025-12-24T00:00:00"/>
        <d v="2025-12-26T00:00:00"/>
        <d v="2025-12-27T00:00:00"/>
        <d v="2025-12-29T00:00:00"/>
        <d v="2025-12-30T00:00:00"/>
        <d v="2025-12-31T00:00:00"/>
        <d v="2025-01-03T00:00:00"/>
        <d v="2025-01-04T00:00:00"/>
        <d v="2025-01-11T00:00:00"/>
        <d v="2025-01-13T00:00:00"/>
        <d v="2025-01-15T00:00:00"/>
        <d v="2025-01-20T00:00:00"/>
        <d v="2025-01-24T00:00:00"/>
        <d v="2025-01-30T00:00:00"/>
        <d v="2025-02-01T00:00:00"/>
        <d v="2025-02-10T00:00:00"/>
        <d v="2025-02-11T00:00:00"/>
        <d v="2025-02-13T00:00:00"/>
        <d v="2025-02-23T00:00:00"/>
        <d v="2025-02-27T00:00:00"/>
        <d v="2025-02-28T00:00:00"/>
        <d v="2025-03-03T00:00:00"/>
        <d v="2025-03-05T00:00:00"/>
        <d v="2025-03-09T00:00:00"/>
        <d v="2025-03-11T00:00:00"/>
        <d v="2025-03-19T00:00:00"/>
        <d v="2025-03-26T00:00:00"/>
        <d v="2025-03-28T00:00:00"/>
        <d v="2025-04-09T00:00:00"/>
        <d v="2025-04-11T00:00:00"/>
        <d v="2025-04-16T00:00:00"/>
        <d v="2025-04-20T00:00:00"/>
        <d v="2025-04-26T00:00:00"/>
        <d v="2025-04-30T00:00:00"/>
        <d v="2025-05-06T00:00:00"/>
        <d v="2025-05-08T00:00:00"/>
        <d v="2025-05-17T00:00:00"/>
        <d v="2025-05-18T00:00:00"/>
        <d v="2025-05-20T00:00:00"/>
        <d v="2025-05-26T00:00:00"/>
        <d v="2025-06-02T00:00:00"/>
        <d v="2025-06-03T00:00:00"/>
        <d v="2025-06-06T00:00:00"/>
        <d v="2025-06-07T00:00:00"/>
        <d v="2025-06-11T00:00:00"/>
        <d v="2025-06-16T00:00:00"/>
        <d v="2025-06-18T00:00:00"/>
        <d v="2025-06-23T00:00:00"/>
        <d v="2025-06-28T00:00:00"/>
        <d v="2025-07-03T00:00:00"/>
        <d v="2025-07-05T00:00:00"/>
        <d v="2025-07-19T00:00:00"/>
        <d v="2025-07-21T00:00:00"/>
        <d v="2025-08-04T00:00:00"/>
        <d v="2025-08-06T00:00:00"/>
        <d v="2025-08-08T00:00:00"/>
        <d v="2025-08-09T00:00:00"/>
        <d v="2025-08-15T00:00:00"/>
        <d v="2025-08-16T00:00:00"/>
        <d v="2025-08-18T00:00:00"/>
        <d v="2025-08-27T00:00:00"/>
        <d v="2025-09-02T00:00:00"/>
        <d v="2025-09-05T00:00:00"/>
        <d v="2025-09-12T00:00:00"/>
        <d v="2025-09-18T00:00:00"/>
        <d v="2025-09-20T00:00:00"/>
        <d v="2025-09-27T00:00:00"/>
        <d v="2025-09-29T00:00:00"/>
        <d v="2025-09-30T00:00:00"/>
        <d v="2025-10-13T00:00:00"/>
        <d v="2025-10-15T00:00:00"/>
        <d v="2025-10-18T00:00:00"/>
        <d v="2025-10-22T00:00:00"/>
        <d v="2025-10-23T00:00:00"/>
        <d v="2025-10-25T00:00:00"/>
        <d v="2025-10-26T00:00:00"/>
        <d v="2025-10-28T00:00:00"/>
        <d v="2025-10-29T00:00:00"/>
        <d v="2025-11-02T00:00:00"/>
        <d v="2025-11-04T00:00:00"/>
        <d v="2025-11-05T00:00:00"/>
        <d v="2025-11-07T00:00:00"/>
        <d v="2025-11-08T00:00:00"/>
        <d v="2025-11-09T00:00:00"/>
        <d v="2025-11-11T00:00:00"/>
        <d v="2025-11-29T00:00:00"/>
        <d v="2025-12-15T00:00:00"/>
        <d v="2025-12-17T00:00:00"/>
        <d v="2025-12-25T00:00:00"/>
        <d v="2025-12-28T00:00:00"/>
        <d v="2025-01-28T00:00:00"/>
        <d v="2025-02-03T00:00:00"/>
        <d v="2025-02-04T00:00:00"/>
        <d v="2025-02-08T00:00:00"/>
        <d v="2025-02-17T00:00:00"/>
        <d v="2025-02-22T00:00:00"/>
        <d v="2025-03-04T00:00:00"/>
        <d v="2025-03-06T00:00:00"/>
        <d v="2025-03-08T00:00:00"/>
        <d v="2025-03-24T00:00:00"/>
        <d v="2025-04-01T00:00:00"/>
        <d v="2025-04-03T00:00:00"/>
        <d v="2025-04-12T00:00:00"/>
        <d v="2025-04-21T00:00:00"/>
        <d v="2025-04-23T00:00:00"/>
        <d v="2025-04-24T00:00:00"/>
        <d v="2025-05-04T00:00:00"/>
        <d v="2025-05-07T00:00:00"/>
        <d v="2025-05-22T00:00:00"/>
        <d v="2025-06-10T00:00:00"/>
        <d v="2025-06-12T00:00:00"/>
        <d v="2025-06-19T00:00:00"/>
        <d v="2025-06-20T00:00:00"/>
        <d v="2025-06-21T00:00:00"/>
        <d v="2025-06-24T00:00:00"/>
        <d v="2025-06-25T00:00:00"/>
        <d v="2025-06-29T00:00:00"/>
        <d v="2025-07-02T00:00:00"/>
        <d v="2025-07-04T00:00:00"/>
        <d v="2025-07-11T00:00:00"/>
        <d v="2025-07-14T00:00:00"/>
        <d v="2025-07-16T00:00:00"/>
        <d v="2025-07-18T00:00:00"/>
        <d v="2025-08-05T00:00:00"/>
        <d v="2025-09-03T00:00:00"/>
        <d v="2025-09-08T00:00:00"/>
        <d v="2025-09-19T00:00:00"/>
        <d v="2025-09-22T00:00:00"/>
        <d v="2025-09-24T00:00:00"/>
        <d v="2025-09-26T00:00:00"/>
        <d v="2025-10-08T00:00:00"/>
        <d v="2025-10-16T00:00:00"/>
        <d v="2025-10-17T00:00:00"/>
        <d v="2025-11-06T00:00:00"/>
        <d v="2025-11-14T00:00:00"/>
        <d v="2025-11-19T00:00:00"/>
        <d v="2025-11-24T00:00:00"/>
        <d v="2025-12-07T00:00:00"/>
        <d v="2025-12-09T00:00:00"/>
        <d v="2025-12-11T00:00:00"/>
        <d v="2025-12-12T00:00:00"/>
        <d v="2025-01-05T00:00:00"/>
        <d v="2025-01-08T00:00:00"/>
        <d v="2025-01-09T00:00:00"/>
        <d v="2025-01-19T00:00:00"/>
        <d v="2025-02-02T00:00:00"/>
        <d v="2025-03-27T00:00:00"/>
        <d v="2025-04-02T00:00:00"/>
        <d v="2025-04-05T00:00:00"/>
        <d v="2025-04-14T00:00:00"/>
        <d v="2025-04-28T00:00:00"/>
        <d v="2025-05-13T00:00:00"/>
        <d v="2025-06-01T00:00:00"/>
        <d v="2025-07-08T00:00:00"/>
        <d v="2025-07-15T00:00:00"/>
        <d v="2025-07-28T00:00:00"/>
        <d v="2025-07-29T00:00:00"/>
        <d v="2025-08-10T00:00:00"/>
        <d v="2025-08-22T00:00:00"/>
        <d v="2025-09-07T00:00:00"/>
        <d v="2025-09-10T00:00:00"/>
        <d v="2025-10-01T00:00:00"/>
        <d v="2025-10-04T00:00:00"/>
        <d v="2025-10-09T00:00:00"/>
        <d v="2025-10-21T00:00:00"/>
        <d v="2025-11-12T00:00:00"/>
        <d v="2025-11-30T00:00:00"/>
        <d v="2025-12-21T00:00:00"/>
      </sharedItems>
      <fieldGroup base="10">
        <rangePr groupBy="months" startDate="2025-01-01T00:00:00" endDate="2026-01-01T00:00:00"/>
        <groupItems count="14">
          <s v="&lt;01/01/2025"/>
          <s v="Jan"/>
          <s v="Feb"/>
          <s v="Mar"/>
          <s v="Apr"/>
          <s v="May"/>
          <s v="Jun"/>
          <s v="Jul"/>
          <s v="Aug"/>
          <s v="Sep"/>
          <s v="Oct"/>
          <s v="Nov"/>
          <s v="Dec"/>
          <s v="&gt;01/01/2026"/>
        </groupItems>
      </fieldGroup>
    </cacheField>
    <cacheField name="%Profit" numFmtId="9">
      <sharedItems containsSemiMixedTypes="0" containsString="0" containsNumber="1" minValue="0.19420689655172413" maxValue="0.2"/>
    </cacheField>
  </cacheFields>
  <extLst>
    <ext xmlns:x14="http://schemas.microsoft.com/office/spreadsheetml/2009/9/main" uri="{725AE2AE-9491-48be-B2B4-4EB974FC3084}">
      <x14:pivotCacheDefinition pivotCacheId="1323333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None"/>
    <n v="1216"/>
    <n v="21100"/>
    <n v="26375"/>
    <n v="32072000"/>
    <n v="25657600"/>
    <n v="6414400"/>
    <x v="0"/>
    <n v="0.2"/>
  </r>
  <r>
    <x v="0"/>
    <x v="1"/>
    <x v="1"/>
    <s v="None"/>
    <n v="1734"/>
    <n v="9900"/>
    <n v="12375"/>
    <n v="21458250"/>
    <n v="17166600"/>
    <n v="4291650"/>
    <x v="1"/>
    <n v="0.2"/>
  </r>
  <r>
    <x v="0"/>
    <x v="2"/>
    <x v="2"/>
    <s v="None"/>
    <n v="267"/>
    <n v="9800"/>
    <n v="12250"/>
    <n v="3270750"/>
    <n v="2616600"/>
    <n v="654150"/>
    <x v="2"/>
    <n v="0.2"/>
  </r>
  <r>
    <x v="0"/>
    <x v="1"/>
    <x v="3"/>
    <s v="None"/>
    <n v="2129"/>
    <n v="23800"/>
    <n v="29750"/>
    <n v="63337750"/>
    <n v="50670200"/>
    <n v="12667550"/>
    <x v="3"/>
    <n v="0.2"/>
  </r>
  <r>
    <x v="0"/>
    <x v="3"/>
    <x v="4"/>
    <s v="None"/>
    <n v="2701"/>
    <n v="21100"/>
    <n v="26375"/>
    <n v="71238875"/>
    <n v="56991100"/>
    <n v="14247775"/>
    <x v="4"/>
    <n v="0.2"/>
  </r>
  <r>
    <x v="0"/>
    <x v="4"/>
    <x v="4"/>
    <s v="None"/>
    <n v="1596"/>
    <n v="22500"/>
    <n v="28125"/>
    <n v="44887500"/>
    <n v="35910000"/>
    <n v="8977500"/>
    <x v="4"/>
    <n v="0.2"/>
  </r>
  <r>
    <x v="0"/>
    <x v="2"/>
    <x v="2"/>
    <s v="None"/>
    <n v="507"/>
    <n v="10700"/>
    <n v="13375"/>
    <n v="6781125"/>
    <n v="5424900"/>
    <n v="1356225"/>
    <x v="5"/>
    <n v="0.2"/>
  </r>
  <r>
    <x v="0"/>
    <x v="3"/>
    <x v="3"/>
    <s v="None"/>
    <n v="519"/>
    <n v="18200"/>
    <n v="22750"/>
    <n v="11807250"/>
    <n v="9445800"/>
    <n v="2361450"/>
    <x v="6"/>
    <n v="0.2"/>
  </r>
  <r>
    <x v="0"/>
    <x v="3"/>
    <x v="5"/>
    <s v="None"/>
    <n v="2745"/>
    <n v="8700"/>
    <n v="10875"/>
    <n v="29851875"/>
    <n v="23881500"/>
    <n v="5970375"/>
    <x v="7"/>
    <n v="0.2"/>
  </r>
  <r>
    <x v="0"/>
    <x v="4"/>
    <x v="6"/>
    <s v="None"/>
    <n v="1331"/>
    <n v="14600"/>
    <n v="18250"/>
    <n v="24290750"/>
    <n v="19432600"/>
    <n v="4858150"/>
    <x v="7"/>
    <n v="0.2"/>
  </r>
  <r>
    <x v="0"/>
    <x v="5"/>
    <x v="1"/>
    <s v="None"/>
    <n v="808"/>
    <n v="16400"/>
    <n v="20500"/>
    <n v="16564000"/>
    <n v="13251200"/>
    <n v="3312800"/>
    <x v="8"/>
    <n v="0.2"/>
  </r>
  <r>
    <x v="0"/>
    <x v="6"/>
    <x v="4"/>
    <s v="None"/>
    <n v="470"/>
    <n v="6400"/>
    <n v="8000"/>
    <n v="3760000"/>
    <n v="3008000"/>
    <n v="752000"/>
    <x v="9"/>
    <n v="0.2"/>
  </r>
  <r>
    <x v="0"/>
    <x v="7"/>
    <x v="1"/>
    <s v="None"/>
    <n v="140"/>
    <n v="14100"/>
    <n v="17625"/>
    <n v="2467500"/>
    <n v="1974000"/>
    <n v="493500"/>
    <x v="9"/>
    <n v="0.2"/>
  </r>
  <r>
    <x v="0"/>
    <x v="6"/>
    <x v="0"/>
    <s v="None"/>
    <n v="1408"/>
    <n v="13800"/>
    <n v="17250"/>
    <n v="24288000"/>
    <n v="19430400"/>
    <n v="4857600"/>
    <x v="10"/>
    <n v="0.2"/>
  </r>
  <r>
    <x v="0"/>
    <x v="4"/>
    <x v="3"/>
    <s v="None"/>
    <n v="1865"/>
    <n v="15900"/>
    <n v="19875"/>
    <n v="37066875"/>
    <n v="29653500"/>
    <n v="7413375"/>
    <x v="11"/>
    <n v="0.2"/>
  </r>
  <r>
    <x v="0"/>
    <x v="2"/>
    <x v="6"/>
    <s v="None"/>
    <n v="708"/>
    <n v="8400"/>
    <n v="10500"/>
    <n v="7434000"/>
    <n v="5947200"/>
    <n v="1486800"/>
    <x v="12"/>
    <n v="0.2"/>
  </r>
  <r>
    <x v="0"/>
    <x v="1"/>
    <x v="0"/>
    <s v="None"/>
    <n v="1636"/>
    <n v="19500"/>
    <n v="24375"/>
    <n v="39877500"/>
    <n v="31902000"/>
    <n v="7975500"/>
    <x v="13"/>
    <n v="0.2"/>
  </r>
  <r>
    <x v="0"/>
    <x v="8"/>
    <x v="7"/>
    <s v="None"/>
    <n v="2582"/>
    <n v="14100"/>
    <n v="17625"/>
    <n v="45507750"/>
    <n v="36406200"/>
    <n v="9101550"/>
    <x v="13"/>
    <n v="0.2"/>
  </r>
  <r>
    <x v="0"/>
    <x v="7"/>
    <x v="3"/>
    <s v="None"/>
    <n v="930"/>
    <n v="24300"/>
    <n v="30375"/>
    <n v="28248750"/>
    <n v="22599000"/>
    <n v="5649750"/>
    <x v="14"/>
    <n v="0.2"/>
  </r>
  <r>
    <x v="0"/>
    <x v="2"/>
    <x v="6"/>
    <s v="None"/>
    <n v="2282"/>
    <n v="3800"/>
    <n v="4750"/>
    <n v="10839500"/>
    <n v="8671600"/>
    <n v="2167900"/>
    <x v="15"/>
    <n v="0.2"/>
  </r>
  <r>
    <x v="0"/>
    <x v="4"/>
    <x v="2"/>
    <s v="None"/>
    <n v="2455"/>
    <n v="17200"/>
    <n v="21500"/>
    <n v="52782500"/>
    <n v="42226000"/>
    <n v="10556500"/>
    <x v="15"/>
    <n v="0.2"/>
  </r>
  <r>
    <x v="0"/>
    <x v="2"/>
    <x v="7"/>
    <s v="None"/>
    <n v="257"/>
    <n v="17700"/>
    <n v="22125"/>
    <n v="5686125"/>
    <n v="4548900"/>
    <n v="1137225"/>
    <x v="16"/>
    <n v="0.2"/>
  </r>
  <r>
    <x v="0"/>
    <x v="6"/>
    <x v="7"/>
    <s v="None"/>
    <n v="2753"/>
    <n v="10900"/>
    <n v="13625"/>
    <n v="37509625"/>
    <n v="30007700"/>
    <n v="7501925"/>
    <x v="17"/>
    <n v="0.2"/>
  </r>
  <r>
    <x v="0"/>
    <x v="7"/>
    <x v="3"/>
    <s v="None"/>
    <n v="1604"/>
    <n v="8700"/>
    <n v="10875"/>
    <n v="17443500"/>
    <n v="13954800"/>
    <n v="3488700"/>
    <x v="18"/>
    <n v="0.2"/>
  </r>
  <r>
    <x v="0"/>
    <x v="0"/>
    <x v="4"/>
    <s v="None"/>
    <n v="1054"/>
    <n v="2600"/>
    <n v="3250"/>
    <n v="3425500"/>
    <n v="2740400"/>
    <n v="685100"/>
    <x v="18"/>
    <n v="0.2"/>
  </r>
  <r>
    <x v="0"/>
    <x v="0"/>
    <x v="8"/>
    <s v="None"/>
    <n v="1511"/>
    <n v="5800"/>
    <n v="7250"/>
    <n v="10954750"/>
    <n v="8763800"/>
    <n v="2190950"/>
    <x v="19"/>
    <n v="0.2"/>
  </r>
  <r>
    <x v="0"/>
    <x v="4"/>
    <x v="6"/>
    <s v="None"/>
    <n v="2175"/>
    <n v="2200"/>
    <n v="2750"/>
    <n v="5981250"/>
    <n v="4785000"/>
    <n v="1196250"/>
    <x v="20"/>
    <n v="0.2"/>
  </r>
  <r>
    <x v="0"/>
    <x v="6"/>
    <x v="0"/>
    <s v="None"/>
    <n v="1952"/>
    <n v="21000"/>
    <n v="26250"/>
    <n v="51240000"/>
    <n v="40992000"/>
    <n v="10248000"/>
    <x v="21"/>
    <n v="0.2"/>
  </r>
  <r>
    <x v="0"/>
    <x v="2"/>
    <x v="6"/>
    <s v="None"/>
    <n v="786"/>
    <n v="6000"/>
    <n v="7500"/>
    <n v="5895000"/>
    <n v="4716000"/>
    <n v="1179000"/>
    <x v="22"/>
    <n v="0.2"/>
  </r>
  <r>
    <x v="0"/>
    <x v="6"/>
    <x v="2"/>
    <s v="None"/>
    <n v="997"/>
    <n v="7000"/>
    <n v="8750"/>
    <n v="8723750"/>
    <n v="6979000"/>
    <n v="1744750"/>
    <x v="23"/>
    <n v="0.2"/>
  </r>
  <r>
    <x v="0"/>
    <x v="7"/>
    <x v="0"/>
    <s v="None"/>
    <n v="1029"/>
    <n v="17500"/>
    <n v="21875"/>
    <n v="22509375"/>
    <n v="18007500"/>
    <n v="4501875"/>
    <x v="23"/>
    <n v="0.2"/>
  </r>
  <r>
    <x v="0"/>
    <x v="6"/>
    <x v="3"/>
    <s v="None"/>
    <n v="675"/>
    <n v="4400"/>
    <n v="5500"/>
    <n v="3712500"/>
    <n v="2970000"/>
    <n v="742500"/>
    <x v="24"/>
    <n v="0.2"/>
  </r>
  <r>
    <x v="0"/>
    <x v="9"/>
    <x v="6"/>
    <s v="None"/>
    <n v="289"/>
    <n v="8400"/>
    <n v="10500"/>
    <n v="3034500"/>
    <n v="2427600"/>
    <n v="606900"/>
    <x v="24"/>
    <n v="0.2"/>
  </r>
  <r>
    <x v="0"/>
    <x v="7"/>
    <x v="5"/>
    <s v="None"/>
    <n v="716"/>
    <n v="2000"/>
    <n v="2500"/>
    <n v="1790000"/>
    <n v="1432000"/>
    <n v="358000"/>
    <x v="25"/>
    <n v="0.2"/>
  </r>
  <r>
    <x v="0"/>
    <x v="9"/>
    <x v="8"/>
    <s v="None"/>
    <n v="2838"/>
    <n v="19900"/>
    <n v="24875"/>
    <n v="70595250"/>
    <n v="56476200"/>
    <n v="14119050"/>
    <x v="26"/>
    <n v="0.2"/>
  </r>
  <r>
    <x v="0"/>
    <x v="4"/>
    <x v="2"/>
    <s v="None"/>
    <n v="1531"/>
    <n v="6700"/>
    <n v="8375"/>
    <n v="12822125"/>
    <n v="10257700"/>
    <n v="2564425"/>
    <x v="27"/>
    <n v="0.2"/>
  </r>
  <r>
    <x v="0"/>
    <x v="4"/>
    <x v="8"/>
    <s v="None"/>
    <n v="124"/>
    <n v="4100"/>
    <n v="5125"/>
    <n v="635500"/>
    <n v="508400"/>
    <n v="127100"/>
    <x v="28"/>
    <n v="0.2"/>
  </r>
  <r>
    <x v="0"/>
    <x v="8"/>
    <x v="9"/>
    <s v="None"/>
    <n v="1610"/>
    <n v="13300"/>
    <n v="16625"/>
    <n v="26766250"/>
    <n v="21413000"/>
    <n v="5353250"/>
    <x v="29"/>
    <n v="0.2"/>
  </r>
  <r>
    <x v="0"/>
    <x v="4"/>
    <x v="4"/>
    <s v="None"/>
    <n v="127"/>
    <n v="8600"/>
    <n v="10750"/>
    <n v="1365250"/>
    <n v="1092200"/>
    <n v="273050"/>
    <x v="29"/>
    <n v="0.2"/>
  </r>
  <r>
    <x v="0"/>
    <x v="9"/>
    <x v="6"/>
    <s v="None"/>
    <n v="2571"/>
    <n v="23200"/>
    <n v="29000"/>
    <n v="74559000"/>
    <n v="59647200"/>
    <n v="14911800"/>
    <x v="30"/>
    <n v="0.2"/>
  </r>
  <r>
    <x v="0"/>
    <x v="0"/>
    <x v="3"/>
    <s v="None"/>
    <n v="2839"/>
    <n v="12700"/>
    <n v="15875"/>
    <n v="45069125"/>
    <n v="36055300"/>
    <n v="9013825"/>
    <x v="30"/>
    <n v="0.2"/>
  </r>
  <r>
    <x v="0"/>
    <x v="5"/>
    <x v="8"/>
    <s v="None"/>
    <n v="2073"/>
    <n v="15100"/>
    <n v="18875"/>
    <n v="39127875"/>
    <n v="31302300"/>
    <n v="7825575"/>
    <x v="31"/>
    <n v="0.2"/>
  </r>
  <r>
    <x v="0"/>
    <x v="4"/>
    <x v="4"/>
    <s v="None"/>
    <n v="1673"/>
    <n v="12100"/>
    <n v="15125"/>
    <n v="25304125"/>
    <n v="20243300"/>
    <n v="5060825"/>
    <x v="32"/>
    <n v="0.2"/>
  </r>
  <r>
    <x v="0"/>
    <x v="9"/>
    <x v="0"/>
    <s v="None"/>
    <n v="1227"/>
    <n v="4100"/>
    <n v="5125"/>
    <n v="6288375"/>
    <n v="5030700"/>
    <n v="1257675"/>
    <x v="33"/>
    <n v="0.2"/>
  </r>
  <r>
    <x v="0"/>
    <x v="8"/>
    <x v="4"/>
    <s v="None"/>
    <n v="2765"/>
    <n v="4600"/>
    <n v="5750"/>
    <n v="15898750"/>
    <n v="12719000"/>
    <n v="3179750"/>
    <x v="33"/>
    <n v="0.2"/>
  </r>
  <r>
    <x v="0"/>
    <x v="2"/>
    <x v="4"/>
    <s v="None"/>
    <n v="2109"/>
    <n v="21700"/>
    <n v="27125"/>
    <n v="57206625"/>
    <n v="45765300"/>
    <n v="11441325"/>
    <x v="34"/>
    <n v="0.2"/>
  </r>
  <r>
    <x v="0"/>
    <x v="5"/>
    <x v="9"/>
    <s v="None"/>
    <n v="2073"/>
    <n v="1700"/>
    <n v="2125"/>
    <n v="4405125"/>
    <n v="3524100"/>
    <n v="881025"/>
    <x v="35"/>
    <n v="0.2"/>
  </r>
  <r>
    <x v="0"/>
    <x v="1"/>
    <x v="4"/>
    <s v="None"/>
    <n v="753"/>
    <n v="2300"/>
    <n v="2875"/>
    <n v="2164875"/>
    <n v="1731900"/>
    <n v="432975"/>
    <x v="36"/>
    <n v="0.2"/>
  </r>
  <r>
    <x v="0"/>
    <x v="0"/>
    <x v="7"/>
    <s v="None"/>
    <n v="2400"/>
    <n v="12300"/>
    <n v="15375"/>
    <n v="36900000"/>
    <n v="29520000"/>
    <n v="7380000"/>
    <x v="37"/>
    <n v="0.2"/>
  </r>
  <r>
    <x v="0"/>
    <x v="7"/>
    <x v="2"/>
    <s v="None"/>
    <n v="803"/>
    <n v="18000"/>
    <n v="22500"/>
    <n v="18067500"/>
    <n v="14454000"/>
    <n v="3613500"/>
    <x v="38"/>
    <n v="0.2"/>
  </r>
  <r>
    <x v="0"/>
    <x v="2"/>
    <x v="7"/>
    <s v="None"/>
    <n v="1383"/>
    <n v="22800"/>
    <n v="28500"/>
    <n v="39415500"/>
    <n v="31532400"/>
    <n v="7883100"/>
    <x v="39"/>
    <n v="0.2"/>
  </r>
  <r>
    <x v="0"/>
    <x v="9"/>
    <x v="8"/>
    <s v="None"/>
    <n v="283"/>
    <n v="21100"/>
    <n v="26375"/>
    <n v="7464125"/>
    <n v="5971300"/>
    <n v="1492825"/>
    <x v="40"/>
    <n v="0.2"/>
  </r>
  <r>
    <x v="0"/>
    <x v="7"/>
    <x v="5"/>
    <s v="None"/>
    <n v="2240"/>
    <n v="21100"/>
    <n v="26375"/>
    <n v="59080000"/>
    <n v="47264000"/>
    <n v="11816000"/>
    <x v="41"/>
    <n v="0.2"/>
  </r>
  <r>
    <x v="0"/>
    <x v="8"/>
    <x v="0"/>
    <s v="None"/>
    <n v="2457"/>
    <n v="22700"/>
    <n v="28375"/>
    <n v="69717375"/>
    <n v="55773900"/>
    <n v="13943475"/>
    <x v="41"/>
    <n v="0.2"/>
  </r>
  <r>
    <x v="0"/>
    <x v="7"/>
    <x v="8"/>
    <s v="None"/>
    <n v="1281"/>
    <n v="13400"/>
    <n v="16750"/>
    <n v="21456750"/>
    <n v="17165400"/>
    <n v="4291350"/>
    <x v="42"/>
    <n v="0.2"/>
  </r>
  <r>
    <x v="0"/>
    <x v="1"/>
    <x v="4"/>
    <s v="None"/>
    <n v="208"/>
    <n v="6400"/>
    <n v="8000"/>
    <n v="1664000"/>
    <n v="1331200"/>
    <n v="332800"/>
    <x v="42"/>
    <n v="0.2"/>
  </r>
  <r>
    <x v="0"/>
    <x v="7"/>
    <x v="4"/>
    <s v="None"/>
    <n v="2471"/>
    <n v="3900"/>
    <n v="4875"/>
    <n v="12046125"/>
    <n v="9636900"/>
    <n v="2409225"/>
    <x v="43"/>
    <n v="0.2"/>
  </r>
  <r>
    <x v="0"/>
    <x v="5"/>
    <x v="3"/>
    <s v="None"/>
    <n v="2753"/>
    <n v="11500"/>
    <n v="14375"/>
    <n v="39574375"/>
    <n v="31659500"/>
    <n v="7914875"/>
    <x v="44"/>
    <n v="0.2"/>
  </r>
  <r>
    <x v="0"/>
    <x v="1"/>
    <x v="9"/>
    <s v="None"/>
    <n v="814"/>
    <n v="9000"/>
    <n v="11250"/>
    <n v="9157500"/>
    <n v="7326000"/>
    <n v="1831500"/>
    <x v="45"/>
    <n v="0.2"/>
  </r>
  <r>
    <x v="0"/>
    <x v="1"/>
    <x v="7"/>
    <s v="None"/>
    <n v="548"/>
    <n v="18300"/>
    <n v="22875"/>
    <n v="12535500"/>
    <n v="10028400"/>
    <n v="2507100"/>
    <x v="46"/>
    <n v="0.2"/>
  </r>
  <r>
    <x v="0"/>
    <x v="9"/>
    <x v="0"/>
    <s v="None"/>
    <n v="2348"/>
    <n v="8700"/>
    <n v="10875"/>
    <n v="25534500"/>
    <n v="20427600"/>
    <n v="5106900"/>
    <x v="47"/>
    <n v="0.2"/>
  </r>
  <r>
    <x v="0"/>
    <x v="6"/>
    <x v="6"/>
    <s v="None"/>
    <n v="1099"/>
    <n v="8600"/>
    <n v="10750"/>
    <n v="11814250"/>
    <n v="9451400"/>
    <n v="2362850"/>
    <x v="47"/>
    <n v="0.2"/>
  </r>
  <r>
    <x v="0"/>
    <x v="8"/>
    <x v="7"/>
    <s v="None"/>
    <n v="2195"/>
    <n v="14605"/>
    <n v="18250"/>
    <n v="40058750"/>
    <n v="32057975"/>
    <n v="8000775"/>
    <x v="48"/>
    <n v="0.19972602739726028"/>
  </r>
  <r>
    <x v="0"/>
    <x v="8"/>
    <x v="7"/>
    <s v="None"/>
    <n v="489"/>
    <n v="7400"/>
    <n v="9250"/>
    <n v="4523250"/>
    <n v="3618600"/>
    <n v="904650"/>
    <x v="49"/>
    <n v="0.2"/>
  </r>
  <r>
    <x v="0"/>
    <x v="4"/>
    <x v="9"/>
    <s v="None"/>
    <n v="863"/>
    <n v="16000"/>
    <n v="20000"/>
    <n v="17260000"/>
    <n v="13808000"/>
    <n v="3452000"/>
    <x v="49"/>
    <n v="0.2"/>
  </r>
  <r>
    <x v="0"/>
    <x v="4"/>
    <x v="1"/>
    <s v="None"/>
    <n v="202"/>
    <n v="3300"/>
    <n v="4125"/>
    <n v="833250"/>
    <n v="666600"/>
    <n v="166650"/>
    <x v="50"/>
    <n v="0.2"/>
  </r>
  <r>
    <x v="0"/>
    <x v="7"/>
    <x v="3"/>
    <s v="None"/>
    <n v="2500"/>
    <n v="6300"/>
    <n v="7875"/>
    <n v="19687500"/>
    <n v="15750000"/>
    <n v="3937500"/>
    <x v="51"/>
    <n v="0.2"/>
  </r>
  <r>
    <x v="0"/>
    <x v="0"/>
    <x v="7"/>
    <s v="None"/>
    <n v="2290"/>
    <n v="2400"/>
    <n v="3000"/>
    <n v="6870000"/>
    <n v="5496000"/>
    <n v="1374000"/>
    <x v="52"/>
    <n v="0.2"/>
  </r>
  <r>
    <x v="0"/>
    <x v="1"/>
    <x v="8"/>
    <s v="None"/>
    <n v="2999"/>
    <n v="11800"/>
    <n v="14750"/>
    <n v="44235250"/>
    <n v="35388200"/>
    <n v="8847050"/>
    <x v="53"/>
    <n v="0.2"/>
  </r>
  <r>
    <x v="0"/>
    <x v="2"/>
    <x v="0"/>
    <s v="None"/>
    <n v="1495"/>
    <n v="12800"/>
    <n v="16000"/>
    <n v="23920000"/>
    <n v="19136000"/>
    <n v="4784000"/>
    <x v="53"/>
    <n v="0.2"/>
  </r>
  <r>
    <x v="0"/>
    <x v="6"/>
    <x v="5"/>
    <s v="None"/>
    <n v="879"/>
    <n v="15000"/>
    <n v="18750"/>
    <n v="16481250"/>
    <n v="13185000"/>
    <n v="3296250"/>
    <x v="54"/>
    <n v="0.2"/>
  </r>
  <r>
    <x v="0"/>
    <x v="5"/>
    <x v="7"/>
    <s v="None"/>
    <n v="514"/>
    <n v="16675"/>
    <n v="20750"/>
    <n v="10665500"/>
    <n v="8570950"/>
    <n v="2094550"/>
    <x v="55"/>
    <n v="0.19638554216867471"/>
  </r>
  <r>
    <x v="0"/>
    <x v="7"/>
    <x v="9"/>
    <s v="None"/>
    <n v="1927"/>
    <n v="20500"/>
    <n v="25625"/>
    <n v="49379375"/>
    <n v="39503500"/>
    <n v="9875875"/>
    <x v="56"/>
    <n v="0.2"/>
  </r>
  <r>
    <x v="0"/>
    <x v="4"/>
    <x v="8"/>
    <s v="None"/>
    <n v="1010"/>
    <n v="11684"/>
    <n v="14500"/>
    <n v="14645000"/>
    <n v="11800840"/>
    <n v="2844160"/>
    <x v="57"/>
    <n v="0.19420689655172413"/>
  </r>
  <r>
    <x v="0"/>
    <x v="8"/>
    <x v="5"/>
    <s v="None"/>
    <n v="1276"/>
    <n v="18900"/>
    <n v="23625"/>
    <n v="30145500"/>
    <n v="24116400"/>
    <n v="6029100"/>
    <x v="58"/>
    <n v="0.2"/>
  </r>
  <r>
    <x v="0"/>
    <x v="9"/>
    <x v="8"/>
    <s v="None"/>
    <n v="477"/>
    <n v="9600"/>
    <n v="12000"/>
    <n v="5724000"/>
    <n v="4579200"/>
    <n v="1144800"/>
    <x v="59"/>
    <n v="0.2"/>
  </r>
  <r>
    <x v="0"/>
    <x v="5"/>
    <x v="8"/>
    <s v="None"/>
    <n v="2223"/>
    <n v="8400"/>
    <n v="10500"/>
    <n v="23341500"/>
    <n v="18673200"/>
    <n v="4668300"/>
    <x v="60"/>
    <n v="0.2"/>
  </r>
  <r>
    <x v="0"/>
    <x v="3"/>
    <x v="3"/>
    <s v="None"/>
    <n v="2506"/>
    <n v="24700"/>
    <n v="30875"/>
    <n v="77372750"/>
    <n v="61898200"/>
    <n v="15474550"/>
    <x v="61"/>
    <n v="0.2"/>
  </r>
  <r>
    <x v="0"/>
    <x v="8"/>
    <x v="5"/>
    <s v="None"/>
    <n v="131"/>
    <n v="6100"/>
    <n v="7625"/>
    <n v="998875"/>
    <n v="799100"/>
    <n v="199775"/>
    <x v="62"/>
    <n v="0.2"/>
  </r>
  <r>
    <x v="0"/>
    <x v="4"/>
    <x v="2"/>
    <s v="None"/>
    <n v="2675"/>
    <n v="11700"/>
    <n v="14625"/>
    <n v="39121875"/>
    <n v="31297500"/>
    <n v="7824375"/>
    <x v="62"/>
    <n v="0.2"/>
  </r>
  <r>
    <x v="0"/>
    <x v="4"/>
    <x v="1"/>
    <s v="None"/>
    <n v="2031"/>
    <n v="19100"/>
    <n v="23875"/>
    <n v="48490125"/>
    <n v="38792100"/>
    <n v="9698025"/>
    <x v="63"/>
    <n v="0.2"/>
  </r>
  <r>
    <x v="0"/>
    <x v="6"/>
    <x v="7"/>
    <s v="None"/>
    <n v="629"/>
    <n v="23500"/>
    <n v="29375"/>
    <n v="18476875"/>
    <n v="14781500"/>
    <n v="3695375"/>
    <x v="64"/>
    <n v="0.2"/>
  </r>
  <r>
    <x v="0"/>
    <x v="6"/>
    <x v="4"/>
    <s v="None"/>
    <n v="2751"/>
    <n v="13500"/>
    <n v="16875"/>
    <n v="46423125"/>
    <n v="37138500"/>
    <n v="9284625"/>
    <x v="64"/>
    <n v="0.2"/>
  </r>
  <r>
    <x v="0"/>
    <x v="2"/>
    <x v="9"/>
    <s v="None"/>
    <n v="1102"/>
    <n v="23100"/>
    <n v="28875"/>
    <n v="31820250"/>
    <n v="25456200"/>
    <n v="6364050"/>
    <x v="65"/>
    <n v="0.2"/>
  </r>
  <r>
    <x v="0"/>
    <x v="0"/>
    <x v="6"/>
    <s v="None"/>
    <n v="2669"/>
    <n v="22800"/>
    <n v="28500"/>
    <n v="76066500"/>
    <n v="60853200"/>
    <n v="15213300"/>
    <x v="66"/>
    <n v="0.2"/>
  </r>
  <r>
    <x v="0"/>
    <x v="9"/>
    <x v="8"/>
    <s v="None"/>
    <n v="1051"/>
    <n v="22500"/>
    <n v="28125"/>
    <n v="29559375"/>
    <n v="23647500"/>
    <n v="5911875"/>
    <x v="67"/>
    <n v="0.2"/>
  </r>
  <r>
    <x v="0"/>
    <x v="3"/>
    <x v="4"/>
    <s v="None"/>
    <n v="1954"/>
    <n v="18800"/>
    <n v="23500"/>
    <n v="45919000"/>
    <n v="36735200"/>
    <n v="9183800"/>
    <x v="68"/>
    <n v="0.2"/>
  </r>
  <r>
    <x v="0"/>
    <x v="8"/>
    <x v="2"/>
    <s v="None"/>
    <n v="642"/>
    <n v="4300"/>
    <n v="5375"/>
    <n v="3450750"/>
    <n v="2760600"/>
    <n v="690150"/>
    <x v="69"/>
    <n v="0.2"/>
  </r>
  <r>
    <x v="0"/>
    <x v="1"/>
    <x v="6"/>
    <s v="None"/>
    <n v="2124"/>
    <n v="9900"/>
    <n v="12375"/>
    <n v="26284500"/>
    <n v="21027600"/>
    <n v="5256900"/>
    <x v="70"/>
    <n v="0.2"/>
  </r>
  <r>
    <x v="0"/>
    <x v="6"/>
    <x v="9"/>
    <s v="None"/>
    <n v="2904"/>
    <n v="3800"/>
    <n v="4750"/>
    <n v="13794000"/>
    <n v="11035200"/>
    <n v="2758800"/>
    <x v="71"/>
    <n v="0.2"/>
  </r>
  <r>
    <x v="0"/>
    <x v="3"/>
    <x v="0"/>
    <s v="None"/>
    <n v="2847"/>
    <n v="12800"/>
    <n v="16000"/>
    <n v="45552000"/>
    <n v="36441600"/>
    <n v="9110400"/>
    <x v="71"/>
    <n v="0.2"/>
  </r>
  <r>
    <x v="0"/>
    <x v="2"/>
    <x v="8"/>
    <s v="None"/>
    <n v="2049"/>
    <n v="13100"/>
    <n v="16375"/>
    <n v="33552375"/>
    <n v="26841900"/>
    <n v="6710475"/>
    <x v="72"/>
    <n v="0.2"/>
  </r>
  <r>
    <x v="0"/>
    <x v="7"/>
    <x v="5"/>
    <s v="None"/>
    <n v="1237"/>
    <n v="5400"/>
    <n v="6750"/>
    <n v="8349750"/>
    <n v="6679800"/>
    <n v="1669950"/>
    <x v="73"/>
    <n v="0.2"/>
  </r>
  <r>
    <x v="0"/>
    <x v="6"/>
    <x v="9"/>
    <s v="None"/>
    <n v="1013"/>
    <n v="1500"/>
    <n v="1875"/>
    <n v="1899375"/>
    <n v="1519500"/>
    <n v="379875"/>
    <x v="74"/>
    <n v="0.2"/>
  </r>
  <r>
    <x v="0"/>
    <x v="2"/>
    <x v="7"/>
    <s v="None"/>
    <n v="1578"/>
    <n v="3600"/>
    <n v="4500"/>
    <n v="7101000"/>
    <n v="5680800"/>
    <n v="1420200"/>
    <x v="74"/>
    <n v="0.2"/>
  </r>
  <r>
    <x v="0"/>
    <x v="1"/>
    <x v="5"/>
    <s v="None"/>
    <n v="490"/>
    <n v="24900"/>
    <n v="31125"/>
    <n v="15251250"/>
    <n v="12201000"/>
    <n v="3050250"/>
    <x v="75"/>
    <n v="0.2"/>
  </r>
  <r>
    <x v="0"/>
    <x v="1"/>
    <x v="6"/>
    <s v="None"/>
    <n v="1238"/>
    <n v="11900"/>
    <n v="14875"/>
    <n v="18415250"/>
    <n v="14732200"/>
    <n v="3683050"/>
    <x v="76"/>
    <n v="0.2"/>
  </r>
  <r>
    <x v="0"/>
    <x v="6"/>
    <x v="0"/>
    <s v="None"/>
    <n v="698"/>
    <n v="11500"/>
    <n v="14375"/>
    <n v="10033750"/>
    <n v="8027000"/>
    <n v="2006750"/>
    <x v="77"/>
    <n v="0.2"/>
  </r>
  <r>
    <x v="0"/>
    <x v="7"/>
    <x v="6"/>
    <s v="None"/>
    <n v="1988"/>
    <n v="20700"/>
    <n v="25875"/>
    <n v="51439500"/>
    <n v="41151600"/>
    <n v="10287900"/>
    <x v="77"/>
    <n v="0.2"/>
  </r>
  <r>
    <x v="0"/>
    <x v="5"/>
    <x v="8"/>
    <s v="None"/>
    <n v="1969"/>
    <n v="19800"/>
    <n v="24750"/>
    <n v="48732750"/>
    <n v="38986200"/>
    <n v="9746550"/>
    <x v="77"/>
    <n v="0.2"/>
  </r>
  <r>
    <x v="0"/>
    <x v="5"/>
    <x v="8"/>
    <s v="None"/>
    <n v="414"/>
    <n v="4200"/>
    <n v="5250"/>
    <n v="2173500"/>
    <n v="1738800"/>
    <n v="434700"/>
    <x v="78"/>
    <n v="0.2"/>
  </r>
  <r>
    <x v="0"/>
    <x v="9"/>
    <x v="8"/>
    <s v="None"/>
    <n v="508"/>
    <n v="9600"/>
    <n v="12000"/>
    <n v="6096000"/>
    <n v="4876800"/>
    <n v="1219200"/>
    <x v="78"/>
    <n v="0.2"/>
  </r>
  <r>
    <x v="0"/>
    <x v="3"/>
    <x v="7"/>
    <s v="None"/>
    <n v="2167"/>
    <n v="15500"/>
    <n v="19375"/>
    <n v="41985625"/>
    <n v="33588500"/>
    <n v="8397125"/>
    <x v="79"/>
    <n v="0.2"/>
  </r>
  <r>
    <x v="0"/>
    <x v="2"/>
    <x v="8"/>
    <s v="None"/>
    <n v="727"/>
    <n v="15200"/>
    <n v="19000"/>
    <n v="13813000"/>
    <n v="11050400"/>
    <n v="2762600"/>
    <x v="79"/>
    <n v="0.2"/>
  </r>
  <r>
    <x v="0"/>
    <x v="0"/>
    <x v="7"/>
    <s v="None"/>
    <n v="1649"/>
    <n v="21800"/>
    <n v="27250"/>
    <n v="44935250"/>
    <n v="35948200"/>
    <n v="8987050"/>
    <x v="79"/>
    <n v="0.2"/>
  </r>
  <r>
    <x v="0"/>
    <x v="1"/>
    <x v="6"/>
    <s v="None"/>
    <n v="1362"/>
    <n v="7400"/>
    <n v="9250"/>
    <n v="12598500"/>
    <n v="10078800"/>
    <n v="2519700"/>
    <x v="80"/>
    <n v="0.2"/>
  </r>
  <r>
    <x v="0"/>
    <x v="2"/>
    <x v="6"/>
    <s v="None"/>
    <n v="2128"/>
    <n v="5100"/>
    <n v="6375"/>
    <n v="13566000"/>
    <n v="10852800"/>
    <n v="2713200"/>
    <x v="81"/>
    <n v="0.2"/>
  </r>
  <r>
    <x v="0"/>
    <x v="4"/>
    <x v="3"/>
    <s v="None"/>
    <n v="131"/>
    <n v="20300"/>
    <n v="25375"/>
    <n v="3324125"/>
    <n v="2659300"/>
    <n v="664825"/>
    <x v="82"/>
    <n v="0.2"/>
  </r>
  <r>
    <x v="0"/>
    <x v="6"/>
    <x v="2"/>
    <s v="None"/>
    <n v="1807"/>
    <n v="2800"/>
    <n v="3500"/>
    <n v="6324500"/>
    <n v="5059600"/>
    <n v="1264900"/>
    <x v="83"/>
    <n v="0.2"/>
  </r>
  <r>
    <x v="0"/>
    <x v="0"/>
    <x v="7"/>
    <s v="None"/>
    <n v="431"/>
    <n v="9400"/>
    <n v="11750"/>
    <n v="5064250"/>
    <n v="4051400"/>
    <n v="1012850"/>
    <x v="83"/>
    <n v="0.2"/>
  </r>
  <r>
    <x v="0"/>
    <x v="5"/>
    <x v="8"/>
    <s v="None"/>
    <n v="336"/>
    <n v="8600"/>
    <n v="10750"/>
    <n v="3612000"/>
    <n v="2889600"/>
    <n v="722400"/>
    <x v="84"/>
    <n v="0.2"/>
  </r>
  <r>
    <x v="0"/>
    <x v="8"/>
    <x v="8"/>
    <s v="None"/>
    <n v="227"/>
    <n v="2300"/>
    <n v="2875"/>
    <n v="652625"/>
    <n v="522100"/>
    <n v="130525"/>
    <x v="85"/>
    <n v="0.2"/>
  </r>
  <r>
    <x v="0"/>
    <x v="8"/>
    <x v="8"/>
    <s v="None"/>
    <n v="782"/>
    <n v="3800"/>
    <n v="4750"/>
    <n v="3714500"/>
    <n v="2971600"/>
    <n v="742900"/>
    <x v="86"/>
    <n v="0.2"/>
  </r>
  <r>
    <x v="0"/>
    <x v="3"/>
    <x v="5"/>
    <s v="None"/>
    <n v="2863"/>
    <n v="15200"/>
    <n v="19000"/>
    <n v="54397000"/>
    <n v="43517600"/>
    <n v="10879400"/>
    <x v="87"/>
    <n v="0.2"/>
  </r>
  <r>
    <x v="0"/>
    <x v="0"/>
    <x v="4"/>
    <s v="None"/>
    <n v="1530"/>
    <n v="17600"/>
    <n v="22000"/>
    <n v="33660000"/>
    <n v="26928000"/>
    <n v="6732000"/>
    <x v="88"/>
    <n v="0.2"/>
  </r>
  <r>
    <x v="0"/>
    <x v="3"/>
    <x v="7"/>
    <s v="None"/>
    <n v="2507"/>
    <n v="9800"/>
    <n v="12250"/>
    <n v="30710750"/>
    <n v="24568600"/>
    <n v="6142150"/>
    <x v="89"/>
    <n v="0.2"/>
  </r>
  <r>
    <x v="0"/>
    <x v="2"/>
    <x v="1"/>
    <s v="None"/>
    <n v="2271"/>
    <n v="16200"/>
    <n v="20250"/>
    <n v="45987750"/>
    <n v="36790200"/>
    <n v="9197550"/>
    <x v="89"/>
    <n v="0.2"/>
  </r>
  <r>
    <x v="0"/>
    <x v="4"/>
    <x v="7"/>
    <s v="None"/>
    <n v="762"/>
    <n v="13100"/>
    <n v="16375"/>
    <n v="12477750"/>
    <n v="9982200"/>
    <n v="2495550"/>
    <x v="90"/>
    <n v="0.2"/>
  </r>
  <r>
    <x v="0"/>
    <x v="0"/>
    <x v="6"/>
    <s v="None"/>
    <n v="2055"/>
    <n v="4500"/>
    <n v="5625"/>
    <n v="11559375"/>
    <n v="9247500"/>
    <n v="2311875"/>
    <x v="90"/>
    <n v="0.2"/>
  </r>
  <r>
    <x v="0"/>
    <x v="2"/>
    <x v="9"/>
    <s v="None"/>
    <n v="762"/>
    <n v="22600"/>
    <n v="28250"/>
    <n v="21526500"/>
    <n v="17221200"/>
    <n v="4305300"/>
    <x v="91"/>
    <n v="0.2"/>
  </r>
  <r>
    <x v="0"/>
    <x v="6"/>
    <x v="8"/>
    <s v="None"/>
    <n v="2564"/>
    <n v="5100"/>
    <n v="6375"/>
    <n v="16345500"/>
    <n v="13076400"/>
    <n v="3269100"/>
    <x v="92"/>
    <n v="0.2"/>
  </r>
  <r>
    <x v="0"/>
    <x v="2"/>
    <x v="3"/>
    <s v="None"/>
    <n v="827"/>
    <n v="17700"/>
    <n v="22125"/>
    <n v="18297375"/>
    <n v="14637900"/>
    <n v="3659475"/>
    <x v="93"/>
    <n v="0.2"/>
  </r>
  <r>
    <x v="0"/>
    <x v="3"/>
    <x v="8"/>
    <s v="None"/>
    <n v="175"/>
    <n v="19300"/>
    <n v="24125"/>
    <n v="4221875"/>
    <n v="3377500"/>
    <n v="844375"/>
    <x v="93"/>
    <n v="0.2"/>
  </r>
  <r>
    <x v="0"/>
    <x v="7"/>
    <x v="5"/>
    <s v="None"/>
    <n v="1837"/>
    <n v="13200"/>
    <n v="16500"/>
    <n v="30310500"/>
    <n v="24248400"/>
    <n v="6062100"/>
    <x v="94"/>
    <n v="0.2"/>
  </r>
  <r>
    <x v="0"/>
    <x v="4"/>
    <x v="3"/>
    <s v="None"/>
    <n v="1609"/>
    <n v="12000"/>
    <n v="15000"/>
    <n v="24135000"/>
    <n v="19308000"/>
    <n v="4827000"/>
    <x v="94"/>
    <n v="0.2"/>
  </r>
  <r>
    <x v="0"/>
    <x v="9"/>
    <x v="7"/>
    <s v="None"/>
    <n v="2276"/>
    <n v="4100"/>
    <n v="5125"/>
    <n v="11664500"/>
    <n v="9331600"/>
    <n v="2332900"/>
    <x v="95"/>
    <n v="0.2"/>
  </r>
  <r>
    <x v="0"/>
    <x v="6"/>
    <x v="8"/>
    <s v="None"/>
    <n v="1553"/>
    <n v="18700"/>
    <n v="23375"/>
    <n v="36301375"/>
    <n v="29041100"/>
    <n v="7260275"/>
    <x v="95"/>
    <n v="0.2"/>
  </r>
  <r>
    <x v="0"/>
    <x v="5"/>
    <x v="6"/>
    <s v="None"/>
    <n v="2606"/>
    <n v="17800"/>
    <n v="22250"/>
    <n v="57983500"/>
    <n v="46386800"/>
    <n v="11596700"/>
    <x v="95"/>
    <n v="0.2"/>
  </r>
  <r>
    <x v="0"/>
    <x v="2"/>
    <x v="0"/>
    <s v="None"/>
    <n v="1276"/>
    <n v="21500"/>
    <n v="26875"/>
    <n v="34292500"/>
    <n v="27434000"/>
    <n v="6858500"/>
    <x v="96"/>
    <n v="0.2"/>
  </r>
  <r>
    <x v="0"/>
    <x v="0"/>
    <x v="1"/>
    <s v="None"/>
    <n v="2410"/>
    <n v="12200"/>
    <n v="15250"/>
    <n v="36752500"/>
    <n v="29402000"/>
    <n v="7350500"/>
    <x v="97"/>
    <n v="0.2"/>
  </r>
  <r>
    <x v="0"/>
    <x v="2"/>
    <x v="6"/>
    <s v="None"/>
    <n v="2415"/>
    <n v="22400"/>
    <n v="28000"/>
    <n v="67620000"/>
    <n v="54096000"/>
    <n v="13524000"/>
    <x v="97"/>
    <n v="0.2"/>
  </r>
  <r>
    <x v="0"/>
    <x v="8"/>
    <x v="3"/>
    <s v="None"/>
    <n v="699"/>
    <n v="18900"/>
    <n v="23625"/>
    <n v="16513875"/>
    <n v="13211100"/>
    <n v="3302775"/>
    <x v="97"/>
    <n v="0.2"/>
  </r>
  <r>
    <x v="0"/>
    <x v="0"/>
    <x v="5"/>
    <s v="None"/>
    <n v="1150"/>
    <n v="24000"/>
    <n v="30000"/>
    <n v="34500000"/>
    <n v="27600000"/>
    <n v="6900000"/>
    <x v="98"/>
    <n v="0.2"/>
  </r>
  <r>
    <x v="0"/>
    <x v="8"/>
    <x v="5"/>
    <s v="None"/>
    <n v="2393"/>
    <n v="14800"/>
    <n v="18500"/>
    <n v="44270500"/>
    <n v="35416400"/>
    <n v="8854100"/>
    <x v="99"/>
    <n v="0.2"/>
  </r>
  <r>
    <x v="0"/>
    <x v="4"/>
    <x v="3"/>
    <s v="None"/>
    <n v="1880"/>
    <n v="13600"/>
    <n v="17000"/>
    <n v="31960000"/>
    <n v="25568000"/>
    <n v="6392000"/>
    <x v="100"/>
    <n v="0.2"/>
  </r>
  <r>
    <x v="0"/>
    <x v="8"/>
    <x v="7"/>
    <s v="None"/>
    <n v="2861"/>
    <n v="15200"/>
    <n v="19000"/>
    <n v="54359000"/>
    <n v="43487200"/>
    <n v="10871800"/>
    <x v="100"/>
    <n v="0.2"/>
  </r>
  <r>
    <x v="0"/>
    <x v="7"/>
    <x v="8"/>
    <s v="None"/>
    <n v="1786"/>
    <n v="16600"/>
    <n v="20750"/>
    <n v="37059500"/>
    <n v="29647600"/>
    <n v="7411900"/>
    <x v="100"/>
    <n v="0.2"/>
  </r>
  <r>
    <x v="0"/>
    <x v="3"/>
    <x v="6"/>
    <s v="None"/>
    <n v="262"/>
    <n v="9800"/>
    <n v="12250"/>
    <n v="3209500"/>
    <n v="2567600"/>
    <n v="641900"/>
    <x v="101"/>
    <n v="0.2"/>
  </r>
  <r>
    <x v="0"/>
    <x v="0"/>
    <x v="2"/>
    <s v="None"/>
    <n v="1669"/>
    <n v="6300"/>
    <n v="7875"/>
    <n v="13143375"/>
    <n v="10514700"/>
    <n v="2628675"/>
    <x v="101"/>
    <n v="0.2"/>
  </r>
  <r>
    <x v="0"/>
    <x v="5"/>
    <x v="8"/>
    <s v="None"/>
    <n v="928"/>
    <n v="17800"/>
    <n v="22250"/>
    <n v="20648000"/>
    <n v="16518400"/>
    <n v="4129600"/>
    <x v="102"/>
    <n v="0.2"/>
  </r>
  <r>
    <x v="0"/>
    <x v="8"/>
    <x v="4"/>
    <s v="None"/>
    <n v="113"/>
    <n v="3000"/>
    <n v="3750"/>
    <n v="423750"/>
    <n v="339000"/>
    <n v="84750"/>
    <x v="102"/>
    <n v="0.2"/>
  </r>
  <r>
    <x v="0"/>
    <x v="9"/>
    <x v="9"/>
    <s v="None"/>
    <n v="269"/>
    <n v="10700"/>
    <n v="13375"/>
    <n v="3597875"/>
    <n v="2878300"/>
    <n v="719575"/>
    <x v="103"/>
    <n v="0.2"/>
  </r>
  <r>
    <x v="0"/>
    <x v="5"/>
    <x v="5"/>
    <s v="None"/>
    <n v="1950"/>
    <n v="11300"/>
    <n v="14125"/>
    <n v="27543750"/>
    <n v="22035000"/>
    <n v="5508750"/>
    <x v="104"/>
    <n v="0.2"/>
  </r>
  <r>
    <x v="0"/>
    <x v="2"/>
    <x v="3"/>
    <s v="None"/>
    <n v="383"/>
    <n v="22400"/>
    <n v="28000"/>
    <n v="10724000"/>
    <n v="8579200"/>
    <n v="2144800"/>
    <x v="105"/>
    <n v="0.2"/>
  </r>
  <r>
    <x v="0"/>
    <x v="6"/>
    <x v="9"/>
    <s v="None"/>
    <n v="1060"/>
    <n v="22800"/>
    <n v="28500"/>
    <n v="30210000"/>
    <n v="24168000"/>
    <n v="6042000"/>
    <x v="105"/>
    <n v="0.2"/>
  </r>
  <r>
    <x v="0"/>
    <x v="5"/>
    <x v="5"/>
    <s v="None"/>
    <n v="2202"/>
    <n v="4500"/>
    <n v="5625"/>
    <n v="12386250"/>
    <n v="9909000"/>
    <n v="2477250"/>
    <x v="106"/>
    <n v="0.2"/>
  </r>
  <r>
    <x v="0"/>
    <x v="2"/>
    <x v="2"/>
    <s v="None"/>
    <n v="2287"/>
    <n v="4700"/>
    <n v="5875"/>
    <n v="13436125"/>
    <n v="10748900"/>
    <n v="2687225"/>
    <x v="107"/>
    <n v="0.2"/>
  </r>
  <r>
    <x v="0"/>
    <x v="6"/>
    <x v="2"/>
    <s v="None"/>
    <n v="2162"/>
    <n v="14400"/>
    <n v="18000"/>
    <n v="38916000"/>
    <n v="31132800"/>
    <n v="7783200"/>
    <x v="108"/>
    <n v="0.2"/>
  </r>
  <r>
    <x v="0"/>
    <x v="4"/>
    <x v="8"/>
    <s v="None"/>
    <n v="949"/>
    <n v="20500"/>
    <n v="25625"/>
    <n v="24318125"/>
    <n v="19454500"/>
    <n v="4863625"/>
    <x v="108"/>
    <n v="0.2"/>
  </r>
  <r>
    <x v="0"/>
    <x v="5"/>
    <x v="2"/>
    <s v="None"/>
    <n v="216"/>
    <n v="11000"/>
    <n v="13750"/>
    <n v="2970000"/>
    <n v="2376000"/>
    <n v="594000"/>
    <x v="109"/>
    <n v="0.2"/>
  </r>
  <r>
    <x v="0"/>
    <x v="6"/>
    <x v="1"/>
    <s v="None"/>
    <n v="2752"/>
    <n v="1500"/>
    <n v="1875"/>
    <n v="5160000"/>
    <n v="4128000"/>
    <n v="1032000"/>
    <x v="110"/>
    <n v="0.2"/>
  </r>
  <r>
    <x v="0"/>
    <x v="2"/>
    <x v="0"/>
    <s v="None"/>
    <n v="2669"/>
    <n v="9200"/>
    <n v="11500"/>
    <n v="30693500"/>
    <n v="24554800"/>
    <n v="6138700"/>
    <x v="110"/>
    <n v="0.2"/>
  </r>
  <r>
    <x v="0"/>
    <x v="8"/>
    <x v="9"/>
    <s v="None"/>
    <n v="541"/>
    <n v="13400"/>
    <n v="16750"/>
    <n v="9061750"/>
    <n v="7249400"/>
    <n v="1812350"/>
    <x v="110"/>
    <n v="0.2"/>
  </r>
  <r>
    <x v="0"/>
    <x v="3"/>
    <x v="0"/>
    <s v="None"/>
    <n v="2205"/>
    <n v="23400"/>
    <n v="29250"/>
    <n v="64496250"/>
    <n v="51597000"/>
    <n v="12899250"/>
    <x v="110"/>
    <n v="0.2"/>
  </r>
  <r>
    <x v="0"/>
    <x v="5"/>
    <x v="8"/>
    <s v="None"/>
    <n v="1276"/>
    <n v="3200"/>
    <n v="4000"/>
    <n v="5104000"/>
    <n v="4083200"/>
    <n v="1020800"/>
    <x v="111"/>
    <n v="0.2"/>
  </r>
  <r>
    <x v="0"/>
    <x v="3"/>
    <x v="4"/>
    <s v="None"/>
    <n v="2910"/>
    <n v="17800"/>
    <n v="22250"/>
    <n v="64747500"/>
    <n v="51798000"/>
    <n v="12949500"/>
    <x v="112"/>
    <n v="0.2"/>
  </r>
  <r>
    <x v="0"/>
    <x v="1"/>
    <x v="6"/>
    <s v="None"/>
    <n v="2048"/>
    <n v="15000"/>
    <n v="18750"/>
    <n v="38400000"/>
    <n v="30720000"/>
    <n v="7680000"/>
    <x v="112"/>
    <n v="0.2"/>
  </r>
  <r>
    <x v="0"/>
    <x v="0"/>
    <x v="2"/>
    <s v="None"/>
    <n v="1115"/>
    <n v="8200"/>
    <n v="10250"/>
    <n v="11428750"/>
    <n v="9143000"/>
    <n v="2285750"/>
    <x v="113"/>
    <n v="0.2"/>
  </r>
  <r>
    <x v="0"/>
    <x v="8"/>
    <x v="9"/>
    <s v="None"/>
    <n v="248"/>
    <n v="20900"/>
    <n v="26125"/>
    <n v="6479000"/>
    <n v="5183200"/>
    <n v="1295800"/>
    <x v="113"/>
    <n v="0.2"/>
  </r>
  <r>
    <x v="0"/>
    <x v="9"/>
    <x v="9"/>
    <s v="None"/>
    <n v="1157"/>
    <n v="20600"/>
    <n v="25750"/>
    <n v="29792750"/>
    <n v="23834200"/>
    <n v="5958550"/>
    <x v="114"/>
    <n v="0.2"/>
  </r>
  <r>
    <x v="0"/>
    <x v="5"/>
    <x v="6"/>
    <s v="None"/>
    <n v="2224"/>
    <n v="22300"/>
    <n v="27875"/>
    <n v="61994000"/>
    <n v="49595200"/>
    <n v="12398800"/>
    <x v="114"/>
    <n v="0.2"/>
  </r>
  <r>
    <x v="0"/>
    <x v="8"/>
    <x v="4"/>
    <s v="None"/>
    <n v="750"/>
    <n v="2900"/>
    <n v="3625"/>
    <n v="2718750"/>
    <n v="2175000"/>
    <n v="543750"/>
    <x v="114"/>
    <n v="0.2"/>
  </r>
  <r>
    <x v="0"/>
    <x v="1"/>
    <x v="4"/>
    <s v="None"/>
    <n v="2635"/>
    <n v="9000"/>
    <n v="11250"/>
    <n v="29643750"/>
    <n v="23715000"/>
    <n v="5928750"/>
    <x v="115"/>
    <n v="0.2"/>
  </r>
  <r>
    <x v="0"/>
    <x v="5"/>
    <x v="6"/>
    <s v="None"/>
    <n v="1904"/>
    <n v="8700"/>
    <n v="10875"/>
    <n v="20706000"/>
    <n v="16564800"/>
    <n v="4141200"/>
    <x v="116"/>
    <n v="0.2"/>
  </r>
  <r>
    <x v="0"/>
    <x v="9"/>
    <x v="1"/>
    <s v="None"/>
    <n v="1623"/>
    <n v="14300"/>
    <n v="17875"/>
    <n v="29011125"/>
    <n v="23208900"/>
    <n v="5802225"/>
    <x v="117"/>
    <n v="0.2"/>
  </r>
  <r>
    <x v="0"/>
    <x v="8"/>
    <x v="1"/>
    <s v="None"/>
    <n v="1603"/>
    <n v="4000"/>
    <n v="5000"/>
    <n v="8015000"/>
    <n v="6412000"/>
    <n v="1603000"/>
    <x v="118"/>
    <n v="0.2"/>
  </r>
  <r>
    <x v="0"/>
    <x v="7"/>
    <x v="4"/>
    <s v="None"/>
    <n v="526"/>
    <n v="3200"/>
    <n v="4000"/>
    <n v="2104000"/>
    <n v="1683200"/>
    <n v="420800"/>
    <x v="118"/>
    <n v="0.2"/>
  </r>
  <r>
    <x v="0"/>
    <x v="2"/>
    <x v="4"/>
    <s v="None"/>
    <n v="2328"/>
    <n v="3900"/>
    <n v="4875"/>
    <n v="11349000"/>
    <n v="9079200"/>
    <n v="2269800"/>
    <x v="119"/>
    <n v="0.2"/>
  </r>
  <r>
    <x v="0"/>
    <x v="1"/>
    <x v="3"/>
    <s v="None"/>
    <n v="1025"/>
    <n v="20700"/>
    <n v="25875"/>
    <n v="26521875"/>
    <n v="21217500"/>
    <n v="5304375"/>
    <x v="120"/>
    <n v="0.2"/>
  </r>
  <r>
    <x v="0"/>
    <x v="9"/>
    <x v="5"/>
    <s v="None"/>
    <n v="1157"/>
    <n v="22400"/>
    <n v="28000"/>
    <n v="32396000"/>
    <n v="25916800"/>
    <n v="6479200"/>
    <x v="121"/>
    <n v="0.2"/>
  </r>
  <r>
    <x v="0"/>
    <x v="0"/>
    <x v="9"/>
    <s v="None"/>
    <n v="1484"/>
    <n v="1800"/>
    <n v="2250"/>
    <n v="3339000"/>
    <n v="2671200"/>
    <n v="667800"/>
    <x v="122"/>
    <n v="0.2"/>
  </r>
  <r>
    <x v="0"/>
    <x v="1"/>
    <x v="7"/>
    <s v="None"/>
    <n v="2122"/>
    <n v="13000"/>
    <n v="16250"/>
    <n v="34482500"/>
    <n v="27586000"/>
    <n v="6896500"/>
    <x v="123"/>
    <n v="0.2"/>
  </r>
  <r>
    <x v="0"/>
    <x v="8"/>
    <x v="0"/>
    <s v="None"/>
    <n v="1307"/>
    <n v="16400"/>
    <n v="20500"/>
    <n v="26793500"/>
    <n v="21434800"/>
    <n v="5358700"/>
    <x v="123"/>
    <n v="0.2"/>
  </r>
  <r>
    <x v="0"/>
    <x v="0"/>
    <x v="7"/>
    <s v="None"/>
    <n v="1594"/>
    <n v="16600"/>
    <n v="20750"/>
    <n v="33075500"/>
    <n v="26460400"/>
    <n v="6615100"/>
    <x v="124"/>
    <n v="0.2"/>
  </r>
  <r>
    <x v="0"/>
    <x v="6"/>
    <x v="3"/>
    <s v="None"/>
    <n v="648"/>
    <n v="18200"/>
    <n v="22750"/>
    <n v="14742000"/>
    <n v="11793600"/>
    <n v="2948400"/>
    <x v="125"/>
    <n v="0.2"/>
  </r>
  <r>
    <x v="0"/>
    <x v="3"/>
    <x v="1"/>
    <s v="None"/>
    <n v="524"/>
    <n v="17400"/>
    <n v="21750"/>
    <n v="11397000"/>
    <n v="9117600"/>
    <n v="2279400"/>
    <x v="126"/>
    <n v="0.2"/>
  </r>
  <r>
    <x v="0"/>
    <x v="7"/>
    <x v="0"/>
    <s v="None"/>
    <n v="2354"/>
    <n v="10200"/>
    <n v="12750"/>
    <n v="30013500"/>
    <n v="24010800"/>
    <n v="6002700"/>
    <x v="126"/>
    <n v="0.2"/>
  </r>
  <r>
    <x v="0"/>
    <x v="0"/>
    <x v="0"/>
    <s v="None"/>
    <n v="1864"/>
    <n v="3300"/>
    <n v="4125"/>
    <n v="7689000"/>
    <n v="6151200"/>
    <n v="1537800"/>
    <x v="127"/>
    <n v="0.2"/>
  </r>
  <r>
    <x v="0"/>
    <x v="9"/>
    <x v="8"/>
    <s v="None"/>
    <n v="765"/>
    <n v="9400"/>
    <n v="11750"/>
    <n v="8988750"/>
    <n v="7191000"/>
    <n v="1797750"/>
    <x v="127"/>
    <n v="0.2"/>
  </r>
  <r>
    <x v="0"/>
    <x v="9"/>
    <x v="4"/>
    <s v="None"/>
    <n v="1724"/>
    <n v="20200"/>
    <n v="25250"/>
    <n v="43531000"/>
    <n v="34824800"/>
    <n v="8706200"/>
    <x v="128"/>
    <n v="0.2"/>
  </r>
  <r>
    <x v="0"/>
    <x v="4"/>
    <x v="3"/>
    <s v="None"/>
    <n v="475"/>
    <n v="17900"/>
    <n v="22375"/>
    <n v="10628125"/>
    <n v="8502500"/>
    <n v="2125625"/>
    <x v="129"/>
    <n v="0.2"/>
  </r>
  <r>
    <x v="0"/>
    <x v="9"/>
    <x v="0"/>
    <s v="None"/>
    <n v="371"/>
    <n v="18000"/>
    <n v="22500"/>
    <n v="8347500"/>
    <n v="6678000"/>
    <n v="1669500"/>
    <x v="130"/>
    <n v="0.2"/>
  </r>
  <r>
    <x v="0"/>
    <x v="3"/>
    <x v="7"/>
    <s v="None"/>
    <n v="914"/>
    <n v="23700"/>
    <n v="29625"/>
    <n v="27077250"/>
    <n v="21661800"/>
    <n v="5415450"/>
    <x v="131"/>
    <n v="0.2"/>
  </r>
  <r>
    <x v="0"/>
    <x v="0"/>
    <x v="8"/>
    <s v="None"/>
    <n v="1346"/>
    <n v="2300"/>
    <n v="2875"/>
    <n v="3869750"/>
    <n v="3095800"/>
    <n v="773950"/>
    <x v="132"/>
    <n v="0.2"/>
  </r>
  <r>
    <x v="0"/>
    <x v="1"/>
    <x v="0"/>
    <s v="None"/>
    <n v="2140"/>
    <n v="21800"/>
    <n v="27250"/>
    <n v="58315000"/>
    <n v="46652000"/>
    <n v="11663000"/>
    <x v="132"/>
    <n v="0.2"/>
  </r>
  <r>
    <x v="0"/>
    <x v="6"/>
    <x v="6"/>
    <s v="None"/>
    <n v="495"/>
    <n v="19400"/>
    <n v="24250"/>
    <n v="12003750"/>
    <n v="9603000"/>
    <n v="2400750"/>
    <x v="133"/>
    <n v="0.2"/>
  </r>
  <r>
    <x v="0"/>
    <x v="3"/>
    <x v="6"/>
    <s v="None"/>
    <n v="1234"/>
    <n v="8700"/>
    <n v="10875"/>
    <n v="13419750"/>
    <n v="10735800"/>
    <n v="2683950"/>
    <x v="134"/>
    <n v="0.2"/>
  </r>
  <r>
    <x v="0"/>
    <x v="1"/>
    <x v="1"/>
    <s v="None"/>
    <n v="340"/>
    <n v="17800"/>
    <n v="22250"/>
    <n v="7565000"/>
    <n v="6052000"/>
    <n v="1513000"/>
    <x v="134"/>
    <n v="0.2"/>
  </r>
  <r>
    <x v="0"/>
    <x v="8"/>
    <x v="9"/>
    <s v="None"/>
    <n v="811"/>
    <n v="18200"/>
    <n v="22750"/>
    <n v="18450250"/>
    <n v="14760200"/>
    <n v="3690050"/>
    <x v="135"/>
    <n v="0.2"/>
  </r>
  <r>
    <x v="0"/>
    <x v="2"/>
    <x v="6"/>
    <s v="None"/>
    <n v="1390"/>
    <n v="9100"/>
    <n v="11375"/>
    <n v="15811250"/>
    <n v="12649000"/>
    <n v="3162250"/>
    <x v="136"/>
    <n v="0.2"/>
  </r>
  <r>
    <x v="0"/>
    <x v="2"/>
    <x v="2"/>
    <s v="None"/>
    <n v="2618"/>
    <n v="4000"/>
    <n v="5000"/>
    <n v="13090000"/>
    <n v="10472000"/>
    <n v="2618000"/>
    <x v="136"/>
    <n v="0.2"/>
  </r>
  <r>
    <x v="0"/>
    <x v="1"/>
    <x v="6"/>
    <s v="None"/>
    <n v="782"/>
    <n v="6400"/>
    <n v="8000"/>
    <n v="6256000"/>
    <n v="5004800"/>
    <n v="1251200"/>
    <x v="137"/>
    <n v="0.2"/>
  </r>
  <r>
    <x v="0"/>
    <x v="4"/>
    <x v="7"/>
    <s v="None"/>
    <n v="2590"/>
    <n v="3400"/>
    <n v="4250"/>
    <n v="11007500"/>
    <n v="8806000"/>
    <n v="2201500"/>
    <x v="138"/>
    <n v="0.2"/>
  </r>
  <r>
    <x v="0"/>
    <x v="6"/>
    <x v="3"/>
    <s v="None"/>
    <n v="2774"/>
    <n v="10000"/>
    <n v="12500"/>
    <n v="34675000"/>
    <n v="27740000"/>
    <n v="6935000"/>
    <x v="139"/>
    <n v="0.2"/>
  </r>
  <r>
    <x v="0"/>
    <x v="5"/>
    <x v="4"/>
    <s v="None"/>
    <n v="1235"/>
    <n v="3300"/>
    <n v="4125"/>
    <n v="5094375"/>
    <n v="4075500"/>
    <n v="1018875"/>
    <x v="140"/>
    <n v="0.2"/>
  </r>
  <r>
    <x v="0"/>
    <x v="9"/>
    <x v="0"/>
    <s v="None"/>
    <n v="1796"/>
    <n v="14800"/>
    <n v="18500"/>
    <n v="33226000"/>
    <n v="26580800"/>
    <n v="6645200"/>
    <x v="141"/>
    <n v="0.2"/>
  </r>
  <r>
    <x v="0"/>
    <x v="8"/>
    <x v="3"/>
    <s v="None"/>
    <n v="184"/>
    <n v="4900"/>
    <n v="6125"/>
    <n v="1127000"/>
    <n v="901600"/>
    <n v="225400"/>
    <x v="142"/>
    <n v="0.2"/>
  </r>
  <r>
    <x v="0"/>
    <x v="6"/>
    <x v="8"/>
    <s v="None"/>
    <n v="271"/>
    <n v="2600"/>
    <n v="3250"/>
    <n v="880750"/>
    <n v="704600"/>
    <n v="176150"/>
    <x v="142"/>
    <n v="0.2"/>
  </r>
  <r>
    <x v="0"/>
    <x v="8"/>
    <x v="7"/>
    <s v="None"/>
    <n v="1923"/>
    <n v="10700"/>
    <n v="13375"/>
    <n v="25720125"/>
    <n v="20576100"/>
    <n v="5144025"/>
    <x v="142"/>
    <n v="0.2"/>
  </r>
  <r>
    <x v="0"/>
    <x v="6"/>
    <x v="2"/>
    <s v="None"/>
    <n v="1752"/>
    <n v="22600"/>
    <n v="28250"/>
    <n v="49494000"/>
    <n v="39595200"/>
    <n v="9898800"/>
    <x v="143"/>
    <n v="0.2"/>
  </r>
  <r>
    <x v="0"/>
    <x v="4"/>
    <x v="9"/>
    <s v="None"/>
    <n v="2000"/>
    <n v="22300"/>
    <n v="27875"/>
    <n v="55750000"/>
    <n v="44600000"/>
    <n v="11150000"/>
    <x v="144"/>
    <n v="0.2"/>
  </r>
  <r>
    <x v="0"/>
    <x v="8"/>
    <x v="6"/>
    <s v="None"/>
    <n v="205"/>
    <n v="15500"/>
    <n v="19375"/>
    <n v="3971875"/>
    <n v="3177500"/>
    <n v="794375"/>
    <x v="145"/>
    <n v="0.2"/>
  </r>
  <r>
    <x v="0"/>
    <x v="7"/>
    <x v="2"/>
    <s v="None"/>
    <n v="1346"/>
    <n v="20200"/>
    <n v="25250"/>
    <n v="33986500"/>
    <n v="27189200"/>
    <n v="6797300"/>
    <x v="145"/>
    <n v="0.2"/>
  </r>
  <r>
    <x v="0"/>
    <x v="8"/>
    <x v="1"/>
    <s v="None"/>
    <n v="1548"/>
    <n v="2400"/>
    <n v="3000"/>
    <n v="4644000"/>
    <n v="3715200"/>
    <n v="928800"/>
    <x v="146"/>
    <n v="0.2"/>
  </r>
  <r>
    <x v="0"/>
    <x v="0"/>
    <x v="5"/>
    <s v="None"/>
    <n v="911"/>
    <n v="7400"/>
    <n v="9250"/>
    <n v="8426750"/>
    <n v="6741400"/>
    <n v="1685350"/>
    <x v="146"/>
    <n v="0.2"/>
  </r>
  <r>
    <x v="0"/>
    <x v="5"/>
    <x v="2"/>
    <s v="None"/>
    <n v="2957"/>
    <n v="7500"/>
    <n v="9375"/>
    <n v="27721875"/>
    <n v="22177500"/>
    <n v="5544375"/>
    <x v="147"/>
    <n v="0.2"/>
  </r>
  <r>
    <x v="0"/>
    <x v="2"/>
    <x v="4"/>
    <s v="None"/>
    <n v="318"/>
    <n v="17500"/>
    <n v="21875"/>
    <n v="6956250"/>
    <n v="5565000"/>
    <n v="1391250"/>
    <x v="148"/>
    <n v="0.2"/>
  </r>
  <r>
    <x v="0"/>
    <x v="0"/>
    <x v="1"/>
    <s v="None"/>
    <n v="1363"/>
    <n v="17700"/>
    <n v="22125"/>
    <n v="30156375"/>
    <n v="24125100"/>
    <n v="6031275"/>
    <x v="148"/>
    <n v="0.2"/>
  </r>
  <r>
    <x v="0"/>
    <x v="3"/>
    <x v="4"/>
    <s v="None"/>
    <n v="838"/>
    <n v="12000"/>
    <n v="15000"/>
    <n v="12570000"/>
    <n v="10056000"/>
    <n v="2514000"/>
    <x v="148"/>
    <n v="0.2"/>
  </r>
  <r>
    <x v="0"/>
    <x v="0"/>
    <x v="1"/>
    <s v="None"/>
    <n v="2378"/>
    <n v="10600"/>
    <n v="13250"/>
    <n v="31508500"/>
    <n v="25206800"/>
    <n v="6301700"/>
    <x v="149"/>
    <n v="0.2"/>
  </r>
  <r>
    <x v="0"/>
    <x v="7"/>
    <x v="9"/>
    <s v="None"/>
    <n v="631"/>
    <n v="17300"/>
    <n v="21625"/>
    <n v="13645375"/>
    <n v="10916300"/>
    <n v="2729075"/>
    <x v="150"/>
    <n v="0.2"/>
  </r>
  <r>
    <x v="0"/>
    <x v="9"/>
    <x v="5"/>
    <s v="None"/>
    <n v="1356"/>
    <n v="5400"/>
    <n v="6750"/>
    <n v="9153000"/>
    <n v="7322400"/>
    <n v="1830600"/>
    <x v="150"/>
    <n v="0.2"/>
  </r>
  <r>
    <x v="0"/>
    <x v="9"/>
    <x v="9"/>
    <s v="None"/>
    <n v="2991"/>
    <n v="11800"/>
    <n v="14750"/>
    <n v="44117250"/>
    <n v="35293800"/>
    <n v="8823450"/>
    <x v="150"/>
    <n v="0.2"/>
  </r>
  <r>
    <x v="0"/>
    <x v="3"/>
    <x v="3"/>
    <s v="None"/>
    <n v="914"/>
    <n v="17600"/>
    <n v="22000"/>
    <n v="20108000"/>
    <n v="16086400"/>
    <n v="4021600"/>
    <x v="151"/>
    <n v="0.2"/>
  </r>
  <r>
    <x v="0"/>
    <x v="7"/>
    <x v="5"/>
    <s v="None"/>
    <n v="1367"/>
    <n v="8000"/>
    <n v="10000"/>
    <n v="13670000"/>
    <n v="10936000"/>
    <n v="2734000"/>
    <x v="152"/>
    <n v="0.2"/>
  </r>
  <r>
    <x v="0"/>
    <x v="0"/>
    <x v="6"/>
    <s v="None"/>
    <n v="2308"/>
    <n v="12000"/>
    <n v="15000"/>
    <n v="34620000"/>
    <n v="27696000"/>
    <n v="6924000"/>
    <x v="153"/>
    <n v="0.2"/>
  </r>
  <r>
    <x v="0"/>
    <x v="0"/>
    <x v="7"/>
    <s v="None"/>
    <n v="2954"/>
    <n v="19700"/>
    <n v="24625"/>
    <n v="72742250"/>
    <n v="58193800"/>
    <n v="14548450"/>
    <x v="153"/>
    <n v="0.2"/>
  </r>
  <r>
    <x v="0"/>
    <x v="3"/>
    <x v="1"/>
    <s v="None"/>
    <n v="533"/>
    <n v="15900"/>
    <n v="19875"/>
    <n v="10593375"/>
    <n v="8474700"/>
    <n v="2118675"/>
    <x v="153"/>
    <n v="0.2"/>
  </r>
  <r>
    <x v="0"/>
    <x v="1"/>
    <x v="7"/>
    <s v="None"/>
    <n v="2893"/>
    <n v="9300"/>
    <n v="11625"/>
    <n v="33631125"/>
    <n v="26904900"/>
    <n v="6726225"/>
    <x v="153"/>
    <n v="0.2"/>
  </r>
  <r>
    <x v="0"/>
    <x v="7"/>
    <x v="1"/>
    <s v="None"/>
    <n v="1359"/>
    <n v="18600"/>
    <n v="23250"/>
    <n v="31596750"/>
    <n v="25277400"/>
    <n v="6319350"/>
    <x v="154"/>
    <n v="0.2"/>
  </r>
  <r>
    <x v="0"/>
    <x v="7"/>
    <x v="2"/>
    <s v="None"/>
    <n v="2136"/>
    <n v="20800"/>
    <n v="26000"/>
    <n v="55536000"/>
    <n v="44428800"/>
    <n v="11107200"/>
    <x v="155"/>
    <n v="0.2"/>
  </r>
  <r>
    <x v="0"/>
    <x v="6"/>
    <x v="8"/>
    <s v="None"/>
    <n v="531"/>
    <n v="9600"/>
    <n v="12000"/>
    <n v="6372000"/>
    <n v="5097600"/>
    <n v="1274400"/>
    <x v="156"/>
    <n v="0.2"/>
  </r>
  <r>
    <x v="0"/>
    <x v="7"/>
    <x v="4"/>
    <s v="None"/>
    <n v="335"/>
    <n v="20900"/>
    <n v="26125"/>
    <n v="8751875"/>
    <n v="7001500"/>
    <n v="1750375"/>
    <x v="156"/>
    <n v="0.2"/>
  </r>
  <r>
    <x v="0"/>
    <x v="4"/>
    <x v="7"/>
    <s v="None"/>
    <n v="221"/>
    <n v="4400"/>
    <n v="5500"/>
    <n v="1215500"/>
    <n v="972400"/>
    <n v="243100"/>
    <x v="156"/>
    <n v="0.2"/>
  </r>
  <r>
    <x v="0"/>
    <x v="5"/>
    <x v="0"/>
    <s v="None"/>
    <n v="1984"/>
    <n v="16100"/>
    <n v="20125"/>
    <n v="39928000"/>
    <n v="31942400"/>
    <n v="7985600"/>
    <x v="157"/>
    <n v="0.2"/>
  </r>
  <r>
    <x v="0"/>
    <x v="2"/>
    <x v="8"/>
    <s v="None"/>
    <n v="2607"/>
    <n v="18500"/>
    <n v="23125"/>
    <n v="60286875"/>
    <n v="48229500"/>
    <n v="12057375"/>
    <x v="157"/>
    <n v="0.2"/>
  </r>
  <r>
    <x v="0"/>
    <x v="6"/>
    <x v="7"/>
    <s v="None"/>
    <n v="1007"/>
    <n v="19100"/>
    <n v="23875"/>
    <n v="24042125"/>
    <n v="19233700"/>
    <n v="4808425"/>
    <x v="158"/>
    <n v="0.2"/>
  </r>
  <r>
    <x v="0"/>
    <x v="4"/>
    <x v="1"/>
    <s v="None"/>
    <n v="1865"/>
    <n v="22600"/>
    <n v="28250"/>
    <n v="52686250"/>
    <n v="42149000"/>
    <n v="10537250"/>
    <x v="159"/>
    <n v="0.2"/>
  </r>
  <r>
    <x v="0"/>
    <x v="7"/>
    <x v="8"/>
    <s v="None"/>
    <n v="1010"/>
    <n v="17000"/>
    <n v="21250"/>
    <n v="21462500"/>
    <n v="17170000"/>
    <n v="4292500"/>
    <x v="159"/>
    <n v="0.2"/>
  </r>
  <r>
    <x v="0"/>
    <x v="1"/>
    <x v="3"/>
    <s v="None"/>
    <n v="488"/>
    <n v="5300"/>
    <n v="6625"/>
    <n v="3233000"/>
    <n v="2586400"/>
    <n v="646600"/>
    <x v="160"/>
    <n v="0.2"/>
  </r>
  <r>
    <x v="0"/>
    <x v="1"/>
    <x v="0"/>
    <s v="None"/>
    <n v="1171"/>
    <n v="15800"/>
    <n v="19750"/>
    <n v="23127250"/>
    <n v="18501800"/>
    <n v="4625450"/>
    <x v="161"/>
    <n v="0.2"/>
  </r>
  <r>
    <x v="0"/>
    <x v="3"/>
    <x v="9"/>
    <s v="None"/>
    <n v="278"/>
    <n v="24100"/>
    <n v="30125"/>
    <n v="8374750"/>
    <n v="6699800"/>
    <n v="1674950"/>
    <x v="162"/>
    <n v="0.2"/>
  </r>
  <r>
    <x v="0"/>
    <x v="8"/>
    <x v="5"/>
    <s v="None"/>
    <n v="579"/>
    <n v="11900"/>
    <n v="14875"/>
    <n v="8612625"/>
    <n v="6890100"/>
    <n v="1722525"/>
    <x v="163"/>
    <n v="0.2"/>
  </r>
  <r>
    <x v="0"/>
    <x v="0"/>
    <x v="5"/>
    <s v="None"/>
    <n v="2263"/>
    <n v="17900"/>
    <n v="22375"/>
    <n v="50634625"/>
    <n v="40507700"/>
    <n v="10126925"/>
    <x v="163"/>
    <n v="0.2"/>
  </r>
  <r>
    <x v="0"/>
    <x v="9"/>
    <x v="4"/>
    <s v="None"/>
    <n v="1191"/>
    <n v="23300"/>
    <n v="29125"/>
    <n v="34687875"/>
    <n v="27750300"/>
    <n v="6937575"/>
    <x v="164"/>
    <n v="0.2"/>
  </r>
  <r>
    <x v="0"/>
    <x v="1"/>
    <x v="6"/>
    <s v="None"/>
    <n v="2571"/>
    <n v="14600"/>
    <n v="18250"/>
    <n v="46920750"/>
    <n v="37536600"/>
    <n v="9384150"/>
    <x v="164"/>
    <n v="0.2"/>
  </r>
  <r>
    <x v="0"/>
    <x v="2"/>
    <x v="3"/>
    <s v="None"/>
    <n v="656"/>
    <n v="13600"/>
    <n v="17000"/>
    <n v="11152000"/>
    <n v="8921600"/>
    <n v="2230400"/>
    <x v="165"/>
    <n v="0.2"/>
  </r>
  <r>
    <x v="0"/>
    <x v="9"/>
    <x v="0"/>
    <s v="None"/>
    <n v="361"/>
    <n v="3700"/>
    <n v="4625"/>
    <n v="1669625"/>
    <n v="1335700"/>
    <n v="333925"/>
    <x v="166"/>
    <n v="0.2"/>
  </r>
  <r>
    <x v="0"/>
    <x v="5"/>
    <x v="5"/>
    <s v="None"/>
    <n v="2010"/>
    <n v="18900"/>
    <n v="23625"/>
    <n v="47486250"/>
    <n v="37989000"/>
    <n v="9497250"/>
    <x v="167"/>
    <n v="0.2"/>
  </r>
  <r>
    <x v="0"/>
    <x v="8"/>
    <x v="5"/>
    <s v="None"/>
    <n v="2431"/>
    <n v="8600"/>
    <n v="10750"/>
    <n v="26133250"/>
    <n v="20906600"/>
    <n v="5226650"/>
    <x v="168"/>
    <n v="0.2"/>
  </r>
  <r>
    <x v="0"/>
    <x v="1"/>
    <x v="6"/>
    <s v="None"/>
    <n v="906"/>
    <n v="1800"/>
    <n v="2250"/>
    <n v="2038500"/>
    <n v="1630800"/>
    <n v="407700"/>
    <x v="169"/>
    <n v="0.2"/>
  </r>
  <r>
    <x v="0"/>
    <x v="0"/>
    <x v="3"/>
    <s v="None"/>
    <n v="2410"/>
    <n v="7100"/>
    <n v="8875"/>
    <n v="21388750"/>
    <n v="17111000"/>
    <n v="4277750"/>
    <x v="170"/>
    <n v="0.2"/>
  </r>
  <r>
    <x v="0"/>
    <x v="0"/>
    <x v="2"/>
    <s v="None"/>
    <n v="2685"/>
    <n v="20300"/>
    <n v="25375"/>
    <n v="68131875"/>
    <n v="54505500"/>
    <n v="13626375"/>
    <x v="171"/>
    <n v="0.2"/>
  </r>
  <r>
    <x v="0"/>
    <x v="5"/>
    <x v="2"/>
    <s v="None"/>
    <n v="2879"/>
    <n v="2100"/>
    <n v="2625"/>
    <n v="7557375"/>
    <n v="6045900"/>
    <n v="1511475"/>
    <x v="171"/>
    <n v="0.2"/>
  </r>
  <r>
    <x v="0"/>
    <x v="9"/>
    <x v="2"/>
    <s v="None"/>
    <n v="137"/>
    <n v="3300"/>
    <n v="4125"/>
    <n v="565125"/>
    <n v="452100"/>
    <n v="113025"/>
    <x v="172"/>
    <n v="0.2"/>
  </r>
  <r>
    <x v="0"/>
    <x v="7"/>
    <x v="3"/>
    <s v="None"/>
    <n v="1801"/>
    <n v="9300"/>
    <n v="11625"/>
    <n v="20936625"/>
    <n v="16749300"/>
    <n v="4187325"/>
    <x v="173"/>
    <n v="0.2"/>
  </r>
  <r>
    <x v="0"/>
    <x v="4"/>
    <x v="9"/>
    <s v="None"/>
    <n v="1384"/>
    <n v="7100"/>
    <n v="8875"/>
    <n v="12283000"/>
    <n v="9826400"/>
    <n v="2456600"/>
    <x v="173"/>
    <n v="0.2"/>
  </r>
  <r>
    <x v="0"/>
    <x v="9"/>
    <x v="1"/>
    <s v="None"/>
    <n v="1515"/>
    <n v="22600"/>
    <n v="28250"/>
    <n v="42798750"/>
    <n v="34239000"/>
    <n v="8559750"/>
    <x v="174"/>
    <n v="0.2"/>
  </r>
  <r>
    <x v="0"/>
    <x v="2"/>
    <x v="9"/>
    <s v="None"/>
    <n v="2272"/>
    <n v="14400"/>
    <n v="18000"/>
    <n v="40896000"/>
    <n v="32716800"/>
    <n v="8179200"/>
    <x v="175"/>
    <n v="0.2"/>
  </r>
  <r>
    <x v="0"/>
    <x v="2"/>
    <x v="2"/>
    <s v="None"/>
    <n v="1783"/>
    <n v="24200"/>
    <n v="30250"/>
    <n v="53935750"/>
    <n v="43148600"/>
    <n v="10787150"/>
    <x v="176"/>
    <n v="0.2"/>
  </r>
  <r>
    <x v="0"/>
    <x v="3"/>
    <x v="0"/>
    <s v="None"/>
    <n v="1235"/>
    <n v="19500"/>
    <n v="24375"/>
    <n v="30103125"/>
    <n v="24082500"/>
    <n v="6020625"/>
    <x v="177"/>
    <n v="0.2"/>
  </r>
  <r>
    <x v="0"/>
    <x v="0"/>
    <x v="5"/>
    <s v="None"/>
    <n v="158"/>
    <n v="6200"/>
    <n v="7750"/>
    <n v="1224500"/>
    <n v="979600"/>
    <n v="244900"/>
    <x v="178"/>
    <n v="0.2"/>
  </r>
  <r>
    <x v="1"/>
    <x v="8"/>
    <x v="7"/>
    <s v="None"/>
    <n v="364"/>
    <n v="7500"/>
    <n v="9375"/>
    <n v="3412500"/>
    <n v="2730000"/>
    <n v="682500"/>
    <x v="0"/>
    <n v="0.2"/>
  </r>
  <r>
    <x v="1"/>
    <x v="1"/>
    <x v="2"/>
    <s v="None"/>
    <n v="280"/>
    <n v="17600"/>
    <n v="22000"/>
    <n v="6160000"/>
    <n v="4928000"/>
    <n v="1232000"/>
    <x v="0"/>
    <n v="0.2"/>
  </r>
  <r>
    <x v="1"/>
    <x v="3"/>
    <x v="1"/>
    <s v="None"/>
    <n v="1715"/>
    <n v="9200"/>
    <n v="11500"/>
    <n v="19722500"/>
    <n v="15778000"/>
    <n v="3944500"/>
    <x v="179"/>
    <n v="0.2"/>
  </r>
  <r>
    <x v="1"/>
    <x v="8"/>
    <x v="4"/>
    <s v="None"/>
    <n v="1771"/>
    <n v="5100"/>
    <n v="6375"/>
    <n v="11290125"/>
    <n v="9032100"/>
    <n v="2258025"/>
    <x v="179"/>
    <n v="0.2"/>
  </r>
  <r>
    <x v="1"/>
    <x v="0"/>
    <x v="0"/>
    <s v="None"/>
    <n v="1431"/>
    <n v="11500"/>
    <n v="14375"/>
    <n v="20570625"/>
    <n v="16456500"/>
    <n v="4114125"/>
    <x v="180"/>
    <n v="0.2"/>
  </r>
  <r>
    <x v="1"/>
    <x v="3"/>
    <x v="0"/>
    <s v="None"/>
    <n v="270"/>
    <n v="12200"/>
    <n v="15250"/>
    <n v="4117500"/>
    <n v="3294000"/>
    <n v="823500"/>
    <x v="1"/>
    <n v="0.2"/>
  </r>
  <r>
    <x v="1"/>
    <x v="2"/>
    <x v="6"/>
    <s v="None"/>
    <n v="2045"/>
    <n v="20700"/>
    <n v="25875"/>
    <n v="52914375"/>
    <n v="42331500"/>
    <n v="10582875"/>
    <x v="1"/>
    <n v="0.2"/>
  </r>
  <r>
    <x v="1"/>
    <x v="5"/>
    <x v="5"/>
    <s v="None"/>
    <n v="327"/>
    <n v="6600"/>
    <n v="8250"/>
    <n v="2697750"/>
    <n v="2158200"/>
    <n v="539550"/>
    <x v="181"/>
    <n v="0.2"/>
  </r>
  <r>
    <x v="1"/>
    <x v="7"/>
    <x v="8"/>
    <s v="None"/>
    <n v="1880"/>
    <n v="22700"/>
    <n v="28375"/>
    <n v="53345000"/>
    <n v="42676000"/>
    <n v="10669000"/>
    <x v="3"/>
    <n v="0.2"/>
  </r>
  <r>
    <x v="1"/>
    <x v="0"/>
    <x v="6"/>
    <s v="None"/>
    <n v="2435"/>
    <n v="23400"/>
    <n v="29250"/>
    <n v="71223750"/>
    <n v="56979000"/>
    <n v="14244750"/>
    <x v="182"/>
    <n v="0.2"/>
  </r>
  <r>
    <x v="1"/>
    <x v="1"/>
    <x v="4"/>
    <s v="None"/>
    <n v="927"/>
    <n v="11200"/>
    <n v="14000"/>
    <n v="12978000"/>
    <n v="10382400"/>
    <n v="2595600"/>
    <x v="4"/>
    <n v="0.2"/>
  </r>
  <r>
    <x v="1"/>
    <x v="8"/>
    <x v="8"/>
    <s v="None"/>
    <n v="2765"/>
    <n v="11000"/>
    <n v="13750"/>
    <n v="38018750"/>
    <n v="30415000"/>
    <n v="7603750"/>
    <x v="4"/>
    <n v="0.2"/>
  </r>
  <r>
    <x v="1"/>
    <x v="3"/>
    <x v="9"/>
    <s v="None"/>
    <n v="1702"/>
    <n v="18100"/>
    <n v="22625"/>
    <n v="38507750"/>
    <n v="30806200"/>
    <n v="7701550"/>
    <x v="183"/>
    <n v="0.2"/>
  </r>
  <r>
    <x v="1"/>
    <x v="5"/>
    <x v="5"/>
    <s v="None"/>
    <n v="883"/>
    <n v="20100"/>
    <n v="25125"/>
    <n v="22185375"/>
    <n v="17748300"/>
    <n v="4437075"/>
    <x v="5"/>
    <n v="0.2"/>
  </r>
  <r>
    <x v="1"/>
    <x v="8"/>
    <x v="8"/>
    <s v="None"/>
    <n v="898"/>
    <n v="18600"/>
    <n v="23250"/>
    <n v="20878500"/>
    <n v="16702800"/>
    <n v="4175700"/>
    <x v="6"/>
    <n v="0.2"/>
  </r>
  <r>
    <x v="1"/>
    <x v="5"/>
    <x v="9"/>
    <s v="None"/>
    <n v="1899"/>
    <n v="8100"/>
    <n v="10125"/>
    <n v="19227375"/>
    <n v="15381900"/>
    <n v="3845475"/>
    <x v="6"/>
    <n v="0.2"/>
  </r>
  <r>
    <x v="1"/>
    <x v="0"/>
    <x v="8"/>
    <s v="None"/>
    <n v="1462"/>
    <n v="22600"/>
    <n v="28250"/>
    <n v="41301500"/>
    <n v="33041200"/>
    <n v="8260300"/>
    <x v="184"/>
    <n v="0.2"/>
  </r>
  <r>
    <x v="1"/>
    <x v="1"/>
    <x v="5"/>
    <s v="None"/>
    <n v="2831"/>
    <n v="20800"/>
    <n v="26000"/>
    <n v="73606000"/>
    <n v="58884800"/>
    <n v="14721200"/>
    <x v="184"/>
    <n v="0.2"/>
  </r>
  <r>
    <x v="1"/>
    <x v="3"/>
    <x v="8"/>
    <s v="None"/>
    <n v="1125"/>
    <n v="20100"/>
    <n v="25125"/>
    <n v="28265625"/>
    <n v="22612500"/>
    <n v="5653125"/>
    <x v="184"/>
    <n v="0.2"/>
  </r>
  <r>
    <x v="1"/>
    <x v="0"/>
    <x v="1"/>
    <s v="None"/>
    <n v="1730"/>
    <n v="4000"/>
    <n v="5000"/>
    <n v="8650000"/>
    <n v="6920000"/>
    <n v="1730000"/>
    <x v="8"/>
    <n v="0.2"/>
  </r>
  <r>
    <x v="1"/>
    <x v="1"/>
    <x v="4"/>
    <s v="None"/>
    <n v="2693"/>
    <n v="6700"/>
    <n v="8375"/>
    <n v="22553875"/>
    <n v="18043100"/>
    <n v="4510775"/>
    <x v="9"/>
    <n v="0.2"/>
  </r>
  <r>
    <x v="1"/>
    <x v="8"/>
    <x v="7"/>
    <s v="None"/>
    <n v="2927"/>
    <n v="15400"/>
    <n v="19250"/>
    <n v="56344750"/>
    <n v="45075800"/>
    <n v="11268950"/>
    <x v="9"/>
    <n v="0.2"/>
  </r>
  <r>
    <x v="1"/>
    <x v="9"/>
    <x v="1"/>
    <s v="None"/>
    <n v="1136"/>
    <n v="16600"/>
    <n v="20750"/>
    <n v="23572000"/>
    <n v="18857600"/>
    <n v="4714400"/>
    <x v="10"/>
    <n v="0.2"/>
  </r>
  <r>
    <x v="1"/>
    <x v="6"/>
    <x v="0"/>
    <s v="None"/>
    <n v="1896"/>
    <n v="11000"/>
    <n v="13750"/>
    <n v="26070000"/>
    <n v="20856000"/>
    <n v="5214000"/>
    <x v="185"/>
    <n v="0.2"/>
  </r>
  <r>
    <x v="1"/>
    <x v="6"/>
    <x v="1"/>
    <s v="None"/>
    <n v="2504"/>
    <n v="18300"/>
    <n v="22875"/>
    <n v="57279000"/>
    <n v="45823200"/>
    <n v="11455800"/>
    <x v="11"/>
    <n v="0.2"/>
  </r>
  <r>
    <x v="1"/>
    <x v="2"/>
    <x v="1"/>
    <s v="None"/>
    <n v="152"/>
    <n v="16500"/>
    <n v="20625"/>
    <n v="3135000"/>
    <n v="2508000"/>
    <n v="627000"/>
    <x v="13"/>
    <n v="0.2"/>
  </r>
  <r>
    <x v="1"/>
    <x v="1"/>
    <x v="9"/>
    <s v="None"/>
    <n v="2806"/>
    <n v="19600"/>
    <n v="24500"/>
    <n v="68747000"/>
    <n v="54997600"/>
    <n v="13749400"/>
    <x v="13"/>
    <n v="0.2"/>
  </r>
  <r>
    <x v="1"/>
    <x v="5"/>
    <x v="4"/>
    <s v="None"/>
    <n v="2045"/>
    <n v="16100"/>
    <n v="20125"/>
    <n v="41155625"/>
    <n v="32924500"/>
    <n v="8231125"/>
    <x v="186"/>
    <n v="0.2"/>
  </r>
  <r>
    <x v="1"/>
    <x v="7"/>
    <x v="2"/>
    <s v="None"/>
    <n v="2077"/>
    <n v="6800"/>
    <n v="8500"/>
    <n v="17654500"/>
    <n v="14123600"/>
    <n v="3530900"/>
    <x v="186"/>
    <n v="0.2"/>
  </r>
  <r>
    <x v="1"/>
    <x v="5"/>
    <x v="0"/>
    <s v="None"/>
    <n v="914"/>
    <n v="6500"/>
    <n v="8125"/>
    <n v="7426250"/>
    <n v="5941000"/>
    <n v="1485250"/>
    <x v="15"/>
    <n v="0.2"/>
  </r>
  <r>
    <x v="1"/>
    <x v="2"/>
    <x v="2"/>
    <s v="None"/>
    <n v="1576"/>
    <n v="21500"/>
    <n v="26875"/>
    <n v="42355000"/>
    <n v="33884000"/>
    <n v="8471000"/>
    <x v="187"/>
    <n v="0.2"/>
  </r>
  <r>
    <x v="1"/>
    <x v="2"/>
    <x v="1"/>
    <s v="None"/>
    <n v="1040"/>
    <n v="21600"/>
    <n v="27000"/>
    <n v="28080000"/>
    <n v="22464000"/>
    <n v="5616000"/>
    <x v="187"/>
    <n v="0.2"/>
  </r>
  <r>
    <x v="1"/>
    <x v="7"/>
    <x v="1"/>
    <s v="None"/>
    <n v="210"/>
    <n v="24400"/>
    <n v="30500"/>
    <n v="6405000"/>
    <n v="5124000"/>
    <n v="1281000"/>
    <x v="16"/>
    <n v="0.2"/>
  </r>
  <r>
    <x v="1"/>
    <x v="7"/>
    <x v="9"/>
    <s v="None"/>
    <n v="106"/>
    <n v="23200"/>
    <n v="29000"/>
    <n v="3074000"/>
    <n v="2459200"/>
    <n v="614800"/>
    <x v="18"/>
    <n v="0.2"/>
  </r>
  <r>
    <x v="1"/>
    <x v="0"/>
    <x v="1"/>
    <s v="None"/>
    <n v="1436"/>
    <n v="12200"/>
    <n v="15250"/>
    <n v="21899000"/>
    <n v="17519200"/>
    <n v="4379800"/>
    <x v="18"/>
    <n v="0.2"/>
  </r>
  <r>
    <x v="1"/>
    <x v="3"/>
    <x v="5"/>
    <s v="None"/>
    <n v="1689"/>
    <n v="17600"/>
    <n v="22000"/>
    <n v="37158000"/>
    <n v="29726400"/>
    <n v="7431600"/>
    <x v="188"/>
    <n v="0.2"/>
  </r>
  <r>
    <x v="1"/>
    <x v="1"/>
    <x v="5"/>
    <s v="None"/>
    <n v="738"/>
    <n v="4800"/>
    <n v="6000"/>
    <n v="4428000"/>
    <n v="3542400"/>
    <n v="885600"/>
    <x v="189"/>
    <n v="0.2"/>
  </r>
  <r>
    <x v="1"/>
    <x v="0"/>
    <x v="7"/>
    <s v="None"/>
    <n v="2618"/>
    <n v="10400"/>
    <n v="13000"/>
    <n v="34034000"/>
    <n v="27227200"/>
    <n v="6806800"/>
    <x v="189"/>
    <n v="0.2"/>
  </r>
  <r>
    <x v="1"/>
    <x v="1"/>
    <x v="8"/>
    <s v="None"/>
    <n v="1400"/>
    <n v="12000"/>
    <n v="15000"/>
    <n v="21000000"/>
    <n v="16800000"/>
    <n v="4200000"/>
    <x v="19"/>
    <n v="0.2"/>
  </r>
  <r>
    <x v="1"/>
    <x v="4"/>
    <x v="9"/>
    <s v="None"/>
    <n v="1081"/>
    <n v="20400"/>
    <n v="25500"/>
    <n v="27565500"/>
    <n v="22052400"/>
    <n v="5513100"/>
    <x v="190"/>
    <n v="0.2"/>
  </r>
  <r>
    <x v="1"/>
    <x v="4"/>
    <x v="3"/>
    <s v="None"/>
    <n v="1201"/>
    <n v="21700"/>
    <n v="27125"/>
    <n v="32577125"/>
    <n v="26061700"/>
    <n v="6515425"/>
    <x v="22"/>
    <n v="0.2"/>
  </r>
  <r>
    <x v="1"/>
    <x v="6"/>
    <x v="8"/>
    <s v="None"/>
    <n v="2409"/>
    <n v="20900"/>
    <n v="26125"/>
    <n v="62935125"/>
    <n v="50348100"/>
    <n v="12587025"/>
    <x v="23"/>
    <n v="0.2"/>
  </r>
  <r>
    <x v="1"/>
    <x v="5"/>
    <x v="9"/>
    <s v="None"/>
    <n v="161"/>
    <n v="5700"/>
    <n v="7125"/>
    <n v="1147125"/>
    <n v="917700"/>
    <n v="229425"/>
    <x v="23"/>
    <n v="0.2"/>
  </r>
  <r>
    <x v="1"/>
    <x v="0"/>
    <x v="3"/>
    <s v="None"/>
    <n v="2412"/>
    <n v="17300"/>
    <n v="21625"/>
    <n v="52159500"/>
    <n v="41727600"/>
    <n v="10431900"/>
    <x v="24"/>
    <n v="0.2"/>
  </r>
  <r>
    <x v="1"/>
    <x v="4"/>
    <x v="2"/>
    <s v="None"/>
    <n v="521"/>
    <n v="11800"/>
    <n v="14750"/>
    <n v="7684750"/>
    <n v="6147800"/>
    <n v="1536950"/>
    <x v="25"/>
    <n v="0.2"/>
  </r>
  <r>
    <x v="1"/>
    <x v="6"/>
    <x v="0"/>
    <s v="None"/>
    <n v="2513"/>
    <n v="19900"/>
    <n v="24875"/>
    <n v="62510875"/>
    <n v="50008700"/>
    <n v="12502175"/>
    <x v="26"/>
    <n v="0.2"/>
  </r>
  <r>
    <x v="1"/>
    <x v="5"/>
    <x v="7"/>
    <s v="None"/>
    <n v="1518"/>
    <n v="3500"/>
    <n v="4375"/>
    <n v="6641250"/>
    <n v="5313000"/>
    <n v="1328250"/>
    <x v="191"/>
    <n v="0.2"/>
  </r>
  <r>
    <x v="1"/>
    <x v="8"/>
    <x v="8"/>
    <s v="None"/>
    <n v="2101"/>
    <n v="10100"/>
    <n v="12625"/>
    <n v="26525125"/>
    <n v="21220100"/>
    <n v="5305025"/>
    <x v="191"/>
    <n v="0.2"/>
  </r>
  <r>
    <x v="1"/>
    <x v="8"/>
    <x v="5"/>
    <s v="None"/>
    <n v="2756"/>
    <n v="24900"/>
    <n v="31125"/>
    <n v="85780500"/>
    <n v="68624400"/>
    <n v="17156100"/>
    <x v="27"/>
    <n v="0.2"/>
  </r>
  <r>
    <x v="1"/>
    <x v="1"/>
    <x v="7"/>
    <s v="None"/>
    <n v="2820"/>
    <n v="6700"/>
    <n v="8375"/>
    <n v="23617500"/>
    <n v="18894000"/>
    <n v="4723500"/>
    <x v="192"/>
    <n v="0.2"/>
  </r>
  <r>
    <x v="1"/>
    <x v="6"/>
    <x v="5"/>
    <s v="None"/>
    <n v="965"/>
    <n v="20400"/>
    <n v="25500"/>
    <n v="24607500"/>
    <n v="19686000"/>
    <n v="4921500"/>
    <x v="193"/>
    <n v="0.2"/>
  </r>
  <r>
    <x v="1"/>
    <x v="8"/>
    <x v="3"/>
    <s v="None"/>
    <n v="800"/>
    <n v="18786"/>
    <n v="23375"/>
    <n v="18700000"/>
    <n v="15028800"/>
    <n v="3671200"/>
    <x v="194"/>
    <n v="0.19632085561497326"/>
  </r>
  <r>
    <x v="1"/>
    <x v="1"/>
    <x v="0"/>
    <s v="None"/>
    <n v="1344"/>
    <n v="2800"/>
    <n v="3500"/>
    <n v="4704000"/>
    <n v="3763200"/>
    <n v="940800"/>
    <x v="195"/>
    <n v="0.2"/>
  </r>
  <r>
    <x v="1"/>
    <x v="6"/>
    <x v="3"/>
    <s v="None"/>
    <n v="2291"/>
    <n v="8200"/>
    <n v="10250"/>
    <n v="23482750"/>
    <n v="18786200"/>
    <n v="4696550"/>
    <x v="195"/>
    <n v="0.2"/>
  </r>
  <r>
    <x v="1"/>
    <x v="5"/>
    <x v="6"/>
    <s v="None"/>
    <n v="652"/>
    <n v="11300"/>
    <n v="14125"/>
    <n v="9209500"/>
    <n v="7367600"/>
    <n v="1841900"/>
    <x v="30"/>
    <n v="0.2"/>
  </r>
  <r>
    <x v="1"/>
    <x v="3"/>
    <x v="0"/>
    <s v="None"/>
    <n v="812"/>
    <n v="15900"/>
    <n v="19875"/>
    <n v="16138500"/>
    <n v="12910800"/>
    <n v="3227700"/>
    <x v="196"/>
    <n v="0.2"/>
  </r>
  <r>
    <x v="1"/>
    <x v="8"/>
    <x v="7"/>
    <s v="None"/>
    <n v="2138"/>
    <n v="8500"/>
    <n v="10625"/>
    <n v="22716250"/>
    <n v="18173000"/>
    <n v="4543250"/>
    <x v="197"/>
    <n v="0.2"/>
  </r>
  <r>
    <x v="1"/>
    <x v="5"/>
    <x v="4"/>
    <s v="None"/>
    <n v="2519"/>
    <n v="11800"/>
    <n v="14750"/>
    <n v="37155250"/>
    <n v="29724200"/>
    <n v="7431050"/>
    <x v="197"/>
    <n v="0.2"/>
  </r>
  <r>
    <x v="1"/>
    <x v="9"/>
    <x v="3"/>
    <s v="None"/>
    <n v="2867"/>
    <n v="8500"/>
    <n v="10625"/>
    <n v="30461875"/>
    <n v="24369500"/>
    <n v="6092375"/>
    <x v="197"/>
    <n v="0.2"/>
  </r>
  <r>
    <x v="1"/>
    <x v="2"/>
    <x v="1"/>
    <s v="None"/>
    <n v="2362"/>
    <n v="21300"/>
    <n v="26625"/>
    <n v="62888250"/>
    <n v="50310600"/>
    <n v="12577650"/>
    <x v="33"/>
    <n v="0.2"/>
  </r>
  <r>
    <x v="1"/>
    <x v="0"/>
    <x v="2"/>
    <s v="None"/>
    <n v="2325"/>
    <n v="17800"/>
    <n v="22250"/>
    <n v="51731250"/>
    <n v="41385000"/>
    <n v="10346250"/>
    <x v="35"/>
    <n v="0.2"/>
  </r>
  <r>
    <x v="1"/>
    <x v="4"/>
    <x v="6"/>
    <s v="None"/>
    <n v="2669"/>
    <n v="5400"/>
    <n v="6750"/>
    <n v="18015750"/>
    <n v="14412600"/>
    <n v="3603150"/>
    <x v="35"/>
    <n v="0.2"/>
  </r>
  <r>
    <x v="1"/>
    <x v="0"/>
    <x v="4"/>
    <s v="None"/>
    <n v="1902"/>
    <n v="9300"/>
    <n v="11625"/>
    <n v="22110750"/>
    <n v="17688600"/>
    <n v="4422150"/>
    <x v="35"/>
    <n v="0.2"/>
  </r>
  <r>
    <x v="1"/>
    <x v="7"/>
    <x v="4"/>
    <s v="None"/>
    <n v="993"/>
    <n v="23700"/>
    <n v="29625"/>
    <n v="29417625"/>
    <n v="23534100"/>
    <n v="5883525"/>
    <x v="198"/>
    <n v="0.2"/>
  </r>
  <r>
    <x v="1"/>
    <x v="2"/>
    <x v="2"/>
    <s v="None"/>
    <n v="2839"/>
    <n v="19100"/>
    <n v="23875"/>
    <n v="67781125"/>
    <n v="54224900"/>
    <n v="13556225"/>
    <x v="38"/>
    <n v="0.2"/>
  </r>
  <r>
    <x v="1"/>
    <x v="8"/>
    <x v="5"/>
    <s v="None"/>
    <n v="2765"/>
    <n v="7900"/>
    <n v="9875"/>
    <n v="27304375"/>
    <n v="21843500"/>
    <n v="5460875"/>
    <x v="38"/>
    <n v="0.2"/>
  </r>
  <r>
    <x v="1"/>
    <x v="9"/>
    <x v="2"/>
    <s v="None"/>
    <n v="1827"/>
    <n v="6500"/>
    <n v="8125"/>
    <n v="14844375"/>
    <n v="11875500"/>
    <n v="2968875"/>
    <x v="41"/>
    <n v="0.2"/>
  </r>
  <r>
    <x v="1"/>
    <x v="2"/>
    <x v="5"/>
    <s v="None"/>
    <n v="1104"/>
    <n v="3200"/>
    <n v="4000"/>
    <n v="4416000"/>
    <n v="3532800"/>
    <n v="883200"/>
    <x v="199"/>
    <n v="0.2"/>
  </r>
  <r>
    <x v="1"/>
    <x v="1"/>
    <x v="0"/>
    <s v="None"/>
    <n v="1945"/>
    <n v="10700"/>
    <n v="13375"/>
    <n v="26014375"/>
    <n v="20811500"/>
    <n v="5202875"/>
    <x v="199"/>
    <n v="0.2"/>
  </r>
  <r>
    <x v="1"/>
    <x v="2"/>
    <x v="9"/>
    <s v="None"/>
    <n v="1330"/>
    <n v="1800"/>
    <n v="2250"/>
    <n v="2992500"/>
    <n v="2394000"/>
    <n v="598500"/>
    <x v="200"/>
    <n v="0.2"/>
  </r>
  <r>
    <x v="1"/>
    <x v="2"/>
    <x v="8"/>
    <s v="None"/>
    <n v="1143"/>
    <n v="11200"/>
    <n v="14000"/>
    <n v="16002000"/>
    <n v="12801600"/>
    <n v="3200400"/>
    <x v="42"/>
    <n v="0.2"/>
  </r>
  <r>
    <x v="1"/>
    <x v="0"/>
    <x v="2"/>
    <s v="None"/>
    <n v="2272"/>
    <n v="20400"/>
    <n v="25500"/>
    <n v="57936000"/>
    <n v="46348800"/>
    <n v="11587200"/>
    <x v="45"/>
    <n v="0.2"/>
  </r>
  <r>
    <x v="1"/>
    <x v="6"/>
    <x v="7"/>
    <s v="None"/>
    <n v="2019"/>
    <n v="12900"/>
    <n v="16125"/>
    <n v="32556375"/>
    <n v="26045100"/>
    <n v="6511275"/>
    <x v="46"/>
    <n v="0.2"/>
  </r>
  <r>
    <x v="1"/>
    <x v="2"/>
    <x v="8"/>
    <s v="None"/>
    <n v="751"/>
    <n v="16000"/>
    <n v="20000"/>
    <n v="15020000"/>
    <n v="12016000"/>
    <n v="3004000"/>
    <x v="201"/>
    <n v="0.2"/>
  </r>
  <r>
    <x v="1"/>
    <x v="6"/>
    <x v="4"/>
    <s v="None"/>
    <n v="2817"/>
    <n v="13000"/>
    <n v="16250"/>
    <n v="45776250"/>
    <n v="36621000"/>
    <n v="9155250"/>
    <x v="202"/>
    <n v="0.2"/>
  </r>
  <r>
    <x v="1"/>
    <x v="9"/>
    <x v="5"/>
    <s v="None"/>
    <n v="2012"/>
    <n v="16600"/>
    <n v="20750"/>
    <n v="41749000"/>
    <n v="33399200"/>
    <n v="8349800"/>
    <x v="203"/>
    <n v="0.2"/>
  </r>
  <r>
    <x v="1"/>
    <x v="2"/>
    <x v="4"/>
    <s v="None"/>
    <n v="1792"/>
    <n v="11500"/>
    <n v="14375"/>
    <n v="25760000"/>
    <n v="20608000"/>
    <n v="5152000"/>
    <x v="203"/>
    <n v="0.2"/>
  </r>
  <r>
    <x v="1"/>
    <x v="9"/>
    <x v="7"/>
    <s v="None"/>
    <n v="2741"/>
    <n v="18600"/>
    <n v="23250"/>
    <n v="63728250"/>
    <n v="50982600"/>
    <n v="12745650"/>
    <x v="51"/>
    <n v="0.2"/>
  </r>
  <r>
    <x v="1"/>
    <x v="6"/>
    <x v="3"/>
    <s v="None"/>
    <n v="318"/>
    <n v="3900"/>
    <n v="4875"/>
    <n v="1550250"/>
    <n v="1240200"/>
    <n v="310050"/>
    <x v="53"/>
    <n v="0.2"/>
  </r>
  <r>
    <x v="1"/>
    <x v="2"/>
    <x v="1"/>
    <s v="None"/>
    <n v="158"/>
    <n v="9000"/>
    <n v="11250"/>
    <n v="1777500"/>
    <n v="1422000"/>
    <n v="355500"/>
    <x v="204"/>
    <n v="0.2"/>
  </r>
  <r>
    <x v="1"/>
    <x v="5"/>
    <x v="6"/>
    <s v="None"/>
    <n v="2810"/>
    <n v="12900"/>
    <n v="16125"/>
    <n v="45311250"/>
    <n v="36249000"/>
    <n v="9062250"/>
    <x v="55"/>
    <n v="0.2"/>
  </r>
  <r>
    <x v="1"/>
    <x v="7"/>
    <x v="4"/>
    <s v="None"/>
    <n v="2772"/>
    <n v="8600"/>
    <n v="10750"/>
    <n v="29799000"/>
    <n v="23839200"/>
    <n v="5959800"/>
    <x v="205"/>
    <n v="0.2"/>
  </r>
  <r>
    <x v="1"/>
    <x v="8"/>
    <x v="4"/>
    <s v="None"/>
    <n v="2151"/>
    <n v="20300"/>
    <n v="25375"/>
    <n v="54581625"/>
    <n v="43665300"/>
    <n v="10916325"/>
    <x v="57"/>
    <n v="0.2"/>
  </r>
  <r>
    <x v="1"/>
    <x v="4"/>
    <x v="5"/>
    <s v="None"/>
    <n v="1776"/>
    <n v="19300"/>
    <n v="24125"/>
    <n v="42846000"/>
    <n v="34276800"/>
    <n v="8569200"/>
    <x v="206"/>
    <n v="0.2"/>
  </r>
  <r>
    <x v="1"/>
    <x v="6"/>
    <x v="3"/>
    <s v="None"/>
    <n v="2687"/>
    <n v="7400"/>
    <n v="9250"/>
    <n v="24854750"/>
    <n v="19883800"/>
    <n v="4970950"/>
    <x v="58"/>
    <n v="0.2"/>
  </r>
  <r>
    <x v="1"/>
    <x v="9"/>
    <x v="1"/>
    <s v="None"/>
    <n v="1092"/>
    <n v="22800"/>
    <n v="28500"/>
    <n v="31122000"/>
    <n v="24897600"/>
    <n v="6224400"/>
    <x v="58"/>
    <n v="0.2"/>
  </r>
  <r>
    <x v="1"/>
    <x v="8"/>
    <x v="7"/>
    <s v="None"/>
    <n v="1298"/>
    <n v="3000"/>
    <n v="3750"/>
    <n v="4867500"/>
    <n v="3894000"/>
    <n v="973500"/>
    <x v="61"/>
    <n v="0.2"/>
  </r>
  <r>
    <x v="1"/>
    <x v="3"/>
    <x v="7"/>
    <s v="None"/>
    <n v="1910"/>
    <n v="23100"/>
    <n v="28875"/>
    <n v="55151250"/>
    <n v="44121000"/>
    <n v="11030250"/>
    <x v="207"/>
    <n v="0.2"/>
  </r>
  <r>
    <x v="1"/>
    <x v="3"/>
    <x v="9"/>
    <s v="None"/>
    <n v="2916"/>
    <n v="6100"/>
    <n v="7625"/>
    <n v="22234500"/>
    <n v="17787600"/>
    <n v="4446900"/>
    <x v="208"/>
    <n v="0.2"/>
  </r>
  <r>
    <x v="1"/>
    <x v="0"/>
    <x v="2"/>
    <s v="None"/>
    <n v="1140"/>
    <n v="19700"/>
    <n v="24625"/>
    <n v="28072500"/>
    <n v="22458000"/>
    <n v="5614500"/>
    <x v="62"/>
    <n v="0.2"/>
  </r>
  <r>
    <x v="1"/>
    <x v="7"/>
    <x v="9"/>
    <s v="None"/>
    <n v="2330"/>
    <n v="20700"/>
    <n v="25875"/>
    <n v="60288750"/>
    <n v="48231000"/>
    <n v="12057750"/>
    <x v="62"/>
    <n v="0.2"/>
  </r>
  <r>
    <x v="1"/>
    <x v="3"/>
    <x v="8"/>
    <s v="None"/>
    <n v="1752"/>
    <n v="18200"/>
    <n v="22750"/>
    <n v="39858000"/>
    <n v="31886400"/>
    <n v="7971600"/>
    <x v="64"/>
    <n v="0.2"/>
  </r>
  <r>
    <x v="1"/>
    <x v="1"/>
    <x v="6"/>
    <s v="None"/>
    <n v="1835"/>
    <n v="9000"/>
    <n v="11250"/>
    <n v="20643750"/>
    <n v="16515000"/>
    <n v="4128750"/>
    <x v="66"/>
    <n v="0.2"/>
  </r>
  <r>
    <x v="1"/>
    <x v="8"/>
    <x v="5"/>
    <s v="None"/>
    <n v="1182"/>
    <n v="12200"/>
    <n v="15250"/>
    <n v="18025500"/>
    <n v="14420400"/>
    <n v="3605100"/>
    <x v="66"/>
    <n v="0.2"/>
  </r>
  <r>
    <x v="1"/>
    <x v="8"/>
    <x v="4"/>
    <s v="None"/>
    <n v="212"/>
    <n v="15900"/>
    <n v="19875"/>
    <n v="4213500"/>
    <n v="3370800"/>
    <n v="842700"/>
    <x v="209"/>
    <n v="0.2"/>
  </r>
  <r>
    <x v="1"/>
    <x v="8"/>
    <x v="5"/>
    <s v="None"/>
    <n v="380"/>
    <n v="1600"/>
    <n v="2000"/>
    <n v="760000"/>
    <n v="608000"/>
    <n v="152000"/>
    <x v="210"/>
    <n v="0.2"/>
  </r>
  <r>
    <x v="1"/>
    <x v="1"/>
    <x v="3"/>
    <s v="None"/>
    <n v="2850"/>
    <n v="21400"/>
    <n v="26750"/>
    <n v="76237500"/>
    <n v="60990000"/>
    <n v="15247500"/>
    <x v="211"/>
    <n v="0.2"/>
  </r>
  <r>
    <x v="1"/>
    <x v="7"/>
    <x v="5"/>
    <s v="None"/>
    <n v="2009"/>
    <n v="7800"/>
    <n v="9750"/>
    <n v="19587750"/>
    <n v="15670200"/>
    <n v="3917550"/>
    <x v="211"/>
    <n v="0.2"/>
  </r>
  <r>
    <x v="1"/>
    <x v="7"/>
    <x v="6"/>
    <s v="None"/>
    <n v="489"/>
    <n v="14400"/>
    <n v="18000"/>
    <n v="8802000"/>
    <n v="7041600"/>
    <n v="1760400"/>
    <x v="71"/>
    <n v="0.2"/>
  </r>
  <r>
    <x v="1"/>
    <x v="6"/>
    <x v="5"/>
    <s v="None"/>
    <n v="1979"/>
    <n v="11700"/>
    <n v="14625"/>
    <n v="28942875"/>
    <n v="23154300"/>
    <n v="5788575"/>
    <x v="212"/>
    <n v="0.2"/>
  </r>
  <r>
    <x v="1"/>
    <x v="0"/>
    <x v="4"/>
    <s v="None"/>
    <n v="241"/>
    <n v="21200"/>
    <n v="26500"/>
    <n v="6386500"/>
    <n v="5109200"/>
    <n v="1277300"/>
    <x v="72"/>
    <n v="0.2"/>
  </r>
  <r>
    <x v="1"/>
    <x v="3"/>
    <x v="0"/>
    <s v="None"/>
    <n v="1405"/>
    <n v="6100"/>
    <n v="7625"/>
    <n v="10713125"/>
    <n v="8570500"/>
    <n v="2142625"/>
    <x v="74"/>
    <n v="0.2"/>
  </r>
  <r>
    <x v="1"/>
    <x v="9"/>
    <x v="0"/>
    <s v="None"/>
    <n v="1260"/>
    <n v="18100"/>
    <n v="22625"/>
    <n v="28507500"/>
    <n v="22806000"/>
    <n v="5701500"/>
    <x v="74"/>
    <n v="0.2"/>
  </r>
  <r>
    <x v="1"/>
    <x v="9"/>
    <x v="9"/>
    <s v="None"/>
    <n v="1065"/>
    <n v="12500"/>
    <n v="15625"/>
    <n v="16640625"/>
    <n v="13312500"/>
    <n v="3328125"/>
    <x v="213"/>
    <n v="0.2"/>
  </r>
  <r>
    <x v="1"/>
    <x v="2"/>
    <x v="1"/>
    <s v="None"/>
    <n v="1123"/>
    <n v="23900"/>
    <n v="29875"/>
    <n v="33549625"/>
    <n v="26839700"/>
    <n v="6709925"/>
    <x v="214"/>
    <n v="0.2"/>
  </r>
  <r>
    <x v="1"/>
    <x v="4"/>
    <x v="2"/>
    <s v="None"/>
    <n v="2465"/>
    <n v="3400"/>
    <n v="4250"/>
    <n v="10476250"/>
    <n v="8381000"/>
    <n v="2095250"/>
    <x v="76"/>
    <n v="0.2"/>
  </r>
  <r>
    <x v="1"/>
    <x v="4"/>
    <x v="1"/>
    <s v="None"/>
    <n v="2825"/>
    <n v="21500"/>
    <n v="26875"/>
    <n v="75921875"/>
    <n v="60737500"/>
    <n v="15184375"/>
    <x v="77"/>
    <n v="0.2"/>
  </r>
  <r>
    <x v="1"/>
    <x v="6"/>
    <x v="4"/>
    <s v="None"/>
    <n v="2709"/>
    <n v="16500"/>
    <n v="20625"/>
    <n v="55873125"/>
    <n v="44698500"/>
    <n v="11174625"/>
    <x v="215"/>
    <n v="0.2"/>
  </r>
  <r>
    <x v="1"/>
    <x v="8"/>
    <x v="1"/>
    <s v="None"/>
    <n v="1631"/>
    <n v="4800"/>
    <n v="6000"/>
    <n v="9786000"/>
    <n v="7828800"/>
    <n v="1957200"/>
    <x v="216"/>
    <n v="0.2"/>
  </r>
  <r>
    <x v="1"/>
    <x v="9"/>
    <x v="6"/>
    <s v="None"/>
    <n v="1704"/>
    <n v="8600"/>
    <n v="10750"/>
    <n v="18318000"/>
    <n v="14654400"/>
    <n v="3663600"/>
    <x v="216"/>
    <n v="0.2"/>
  </r>
  <r>
    <x v="1"/>
    <x v="8"/>
    <x v="9"/>
    <s v="None"/>
    <n v="1410"/>
    <n v="21300"/>
    <n v="26625"/>
    <n v="37541250"/>
    <n v="30033000"/>
    <n v="7508250"/>
    <x v="79"/>
    <n v="0.2"/>
  </r>
  <r>
    <x v="1"/>
    <x v="4"/>
    <x v="8"/>
    <s v="None"/>
    <n v="638"/>
    <n v="15500"/>
    <n v="19375"/>
    <n v="12361250"/>
    <n v="9889000"/>
    <n v="2472250"/>
    <x v="217"/>
    <n v="0.2"/>
  </r>
  <r>
    <x v="1"/>
    <x v="2"/>
    <x v="0"/>
    <s v="None"/>
    <n v="2481"/>
    <n v="1700"/>
    <n v="2125"/>
    <n v="5272125"/>
    <n v="4217700"/>
    <n v="1054425"/>
    <x v="217"/>
    <n v="0.2"/>
  </r>
  <r>
    <x v="1"/>
    <x v="0"/>
    <x v="4"/>
    <s v="None"/>
    <n v="1715"/>
    <n v="21100"/>
    <n v="26375"/>
    <n v="45233125"/>
    <n v="36186500"/>
    <n v="9046625"/>
    <x v="217"/>
    <n v="0.2"/>
  </r>
  <r>
    <x v="1"/>
    <x v="8"/>
    <x v="1"/>
    <s v="None"/>
    <n v="2915"/>
    <n v="24000"/>
    <n v="30000"/>
    <n v="87450000"/>
    <n v="69960000"/>
    <n v="17490000"/>
    <x v="81"/>
    <n v="0.2"/>
  </r>
  <r>
    <x v="1"/>
    <x v="7"/>
    <x v="0"/>
    <s v="None"/>
    <n v="1701"/>
    <n v="2800"/>
    <n v="3500"/>
    <n v="5953500"/>
    <n v="4762800"/>
    <n v="1190700"/>
    <x v="218"/>
    <n v="0.2"/>
  </r>
  <r>
    <x v="1"/>
    <x v="9"/>
    <x v="6"/>
    <s v="None"/>
    <n v="1492"/>
    <n v="9100"/>
    <n v="11375"/>
    <n v="16971500"/>
    <n v="13577200"/>
    <n v="3394300"/>
    <x v="218"/>
    <n v="0.2"/>
  </r>
  <r>
    <x v="1"/>
    <x v="9"/>
    <x v="4"/>
    <s v="None"/>
    <n v="2163"/>
    <n v="10400"/>
    <n v="13000"/>
    <n v="28119000"/>
    <n v="22495200"/>
    <n v="5623800"/>
    <x v="219"/>
    <n v="0.2"/>
  </r>
  <r>
    <x v="1"/>
    <x v="2"/>
    <x v="4"/>
    <s v="None"/>
    <n v="1727"/>
    <n v="6000"/>
    <n v="7500"/>
    <n v="12952500"/>
    <n v="10362000"/>
    <n v="2590500"/>
    <x v="83"/>
    <n v="0.2"/>
  </r>
  <r>
    <x v="1"/>
    <x v="0"/>
    <x v="2"/>
    <s v="None"/>
    <n v="287"/>
    <n v="24000"/>
    <n v="30000"/>
    <n v="8610000"/>
    <n v="6888000"/>
    <n v="1722000"/>
    <x v="220"/>
    <n v="0.2"/>
  </r>
  <r>
    <x v="1"/>
    <x v="2"/>
    <x v="1"/>
    <s v="None"/>
    <n v="1941"/>
    <n v="18300"/>
    <n v="22875"/>
    <n v="44400375"/>
    <n v="35520300"/>
    <n v="8880075"/>
    <x v="85"/>
    <n v="0.2"/>
  </r>
  <r>
    <x v="1"/>
    <x v="1"/>
    <x v="7"/>
    <s v="None"/>
    <n v="232"/>
    <n v="11800"/>
    <n v="14750"/>
    <n v="3422000"/>
    <n v="2737600"/>
    <n v="684400"/>
    <x v="85"/>
    <n v="0.2"/>
  </r>
  <r>
    <x v="1"/>
    <x v="9"/>
    <x v="2"/>
    <s v="None"/>
    <n v="2405"/>
    <n v="19100"/>
    <n v="23875"/>
    <n v="57419375"/>
    <n v="45935500"/>
    <n v="11483875"/>
    <x v="221"/>
    <n v="0.2"/>
  </r>
  <r>
    <x v="1"/>
    <x v="6"/>
    <x v="2"/>
    <s v="None"/>
    <n v="1226"/>
    <n v="22000"/>
    <n v="27500"/>
    <n v="33715000"/>
    <n v="26972000"/>
    <n v="6743000"/>
    <x v="86"/>
    <n v="0.2"/>
  </r>
  <r>
    <x v="1"/>
    <x v="6"/>
    <x v="6"/>
    <s v="None"/>
    <n v="2104"/>
    <n v="8200"/>
    <n v="10250"/>
    <n v="21566000"/>
    <n v="17252800"/>
    <n v="4313200"/>
    <x v="87"/>
    <n v="0.2"/>
  </r>
  <r>
    <x v="1"/>
    <x v="7"/>
    <x v="8"/>
    <s v="None"/>
    <n v="1640"/>
    <n v="15000"/>
    <n v="18750"/>
    <n v="30750000"/>
    <n v="24600000"/>
    <n v="6150000"/>
    <x v="222"/>
    <n v="0.2"/>
  </r>
  <r>
    <x v="1"/>
    <x v="6"/>
    <x v="4"/>
    <s v="None"/>
    <n v="637"/>
    <n v="17400"/>
    <n v="21750"/>
    <n v="13854750"/>
    <n v="11083800"/>
    <n v="2770950"/>
    <x v="223"/>
    <n v="0.2"/>
  </r>
  <r>
    <x v="1"/>
    <x v="3"/>
    <x v="3"/>
    <s v="None"/>
    <n v="594"/>
    <n v="12000"/>
    <n v="15000"/>
    <n v="8910000"/>
    <n v="7128000"/>
    <n v="1782000"/>
    <x v="90"/>
    <n v="0.2"/>
  </r>
  <r>
    <x v="1"/>
    <x v="4"/>
    <x v="7"/>
    <s v="None"/>
    <n v="497"/>
    <n v="24700"/>
    <n v="30875"/>
    <n v="15344875"/>
    <n v="12275900"/>
    <n v="3068975"/>
    <x v="91"/>
    <n v="0.2"/>
  </r>
  <r>
    <x v="1"/>
    <x v="8"/>
    <x v="6"/>
    <s v="None"/>
    <n v="594"/>
    <n v="18900"/>
    <n v="23625"/>
    <n v="14033250"/>
    <n v="11226600"/>
    <n v="2806650"/>
    <x v="91"/>
    <n v="0.2"/>
  </r>
  <r>
    <x v="1"/>
    <x v="9"/>
    <x v="9"/>
    <s v="None"/>
    <n v="2293"/>
    <n v="19000"/>
    <n v="23750"/>
    <n v="54458750"/>
    <n v="43567000"/>
    <n v="10891750"/>
    <x v="224"/>
    <n v="0.2"/>
  </r>
  <r>
    <x v="1"/>
    <x v="8"/>
    <x v="8"/>
    <s v="None"/>
    <n v="1547"/>
    <n v="10304"/>
    <n v="12875"/>
    <n v="19917625"/>
    <n v="15940288"/>
    <n v="3977337"/>
    <x v="225"/>
    <n v="0.19968932038834952"/>
  </r>
  <r>
    <x v="1"/>
    <x v="7"/>
    <x v="8"/>
    <s v="None"/>
    <n v="2478"/>
    <n v="18300"/>
    <n v="22875"/>
    <n v="56684250"/>
    <n v="45347400"/>
    <n v="11336850"/>
    <x v="98"/>
    <n v="0.2"/>
  </r>
  <r>
    <x v="1"/>
    <x v="1"/>
    <x v="7"/>
    <s v="None"/>
    <n v="923"/>
    <n v="22100"/>
    <n v="27625"/>
    <n v="25497875"/>
    <n v="20398300"/>
    <n v="5099575"/>
    <x v="103"/>
    <n v="0.2"/>
  </r>
  <r>
    <x v="1"/>
    <x v="7"/>
    <x v="8"/>
    <s v="None"/>
    <n v="330"/>
    <n v="17200"/>
    <n v="21500"/>
    <n v="7095000"/>
    <n v="5676000"/>
    <n v="1419000"/>
    <x v="226"/>
    <n v="0.2"/>
  </r>
  <r>
    <x v="1"/>
    <x v="3"/>
    <x v="7"/>
    <s v="None"/>
    <n v="1417"/>
    <n v="2300"/>
    <n v="2875"/>
    <n v="4073875"/>
    <n v="3259100"/>
    <n v="814775"/>
    <x v="227"/>
    <n v="0.2"/>
  </r>
  <r>
    <x v="1"/>
    <x v="2"/>
    <x v="7"/>
    <s v="None"/>
    <n v="1189"/>
    <n v="14500"/>
    <n v="18125"/>
    <n v="21550625"/>
    <n v="17240500"/>
    <n v="4310125"/>
    <x v="104"/>
    <n v="0.2"/>
  </r>
  <r>
    <x v="1"/>
    <x v="1"/>
    <x v="9"/>
    <s v="None"/>
    <n v="1806"/>
    <n v="22200"/>
    <n v="27750"/>
    <n v="50116500"/>
    <n v="40093200"/>
    <n v="10023300"/>
    <x v="228"/>
    <n v="0.2"/>
  </r>
  <r>
    <x v="1"/>
    <x v="9"/>
    <x v="3"/>
    <s v="None"/>
    <n v="1378"/>
    <n v="19300"/>
    <n v="24125"/>
    <n v="33244250"/>
    <n v="26595400"/>
    <n v="6648850"/>
    <x v="229"/>
    <n v="0.2"/>
  </r>
  <r>
    <x v="1"/>
    <x v="6"/>
    <x v="2"/>
    <s v="None"/>
    <n v="2276"/>
    <n v="12700"/>
    <n v="15875"/>
    <n v="36131500"/>
    <n v="28905200"/>
    <n v="7226300"/>
    <x v="229"/>
    <n v="0.2"/>
  </r>
  <r>
    <x v="1"/>
    <x v="9"/>
    <x v="8"/>
    <s v="None"/>
    <n v="2713"/>
    <n v="15000"/>
    <n v="18750"/>
    <n v="50868750"/>
    <n v="40695000"/>
    <n v="10173750"/>
    <x v="108"/>
    <n v="0.2"/>
  </r>
  <r>
    <x v="1"/>
    <x v="2"/>
    <x v="1"/>
    <s v="None"/>
    <n v="2586"/>
    <n v="4300"/>
    <n v="5375"/>
    <n v="13899750"/>
    <n v="11119800"/>
    <n v="2779950"/>
    <x v="230"/>
    <n v="0.2"/>
  </r>
  <r>
    <x v="1"/>
    <x v="3"/>
    <x v="2"/>
    <s v="None"/>
    <n v="2108"/>
    <n v="17500"/>
    <n v="21875"/>
    <n v="46112500"/>
    <n v="36890000"/>
    <n v="9222500"/>
    <x v="230"/>
    <n v="0.2"/>
  </r>
  <r>
    <x v="1"/>
    <x v="9"/>
    <x v="4"/>
    <s v="None"/>
    <n v="2302"/>
    <n v="16000"/>
    <n v="20000"/>
    <n v="46040000"/>
    <n v="36832000"/>
    <n v="9208000"/>
    <x v="231"/>
    <n v="0.2"/>
  </r>
  <r>
    <x v="1"/>
    <x v="1"/>
    <x v="1"/>
    <s v="None"/>
    <n v="752"/>
    <n v="21900"/>
    <n v="27375"/>
    <n v="20586000"/>
    <n v="16468800"/>
    <n v="4117200"/>
    <x v="109"/>
    <n v="0.2"/>
  </r>
  <r>
    <x v="1"/>
    <x v="8"/>
    <x v="9"/>
    <s v="None"/>
    <n v="2485"/>
    <n v="4100"/>
    <n v="5125"/>
    <n v="12735625"/>
    <n v="10188500"/>
    <n v="2547125"/>
    <x v="232"/>
    <n v="0.2"/>
  </r>
  <r>
    <x v="1"/>
    <x v="9"/>
    <x v="5"/>
    <s v="None"/>
    <n v="694"/>
    <n v="23900"/>
    <n v="29875"/>
    <n v="20733250"/>
    <n v="16586600"/>
    <n v="4146650"/>
    <x v="110"/>
    <n v="0.2"/>
  </r>
  <r>
    <x v="1"/>
    <x v="6"/>
    <x v="2"/>
    <s v="None"/>
    <n v="2072"/>
    <n v="14700"/>
    <n v="18375"/>
    <n v="38073000"/>
    <n v="30458400"/>
    <n v="7614600"/>
    <x v="111"/>
    <n v="0.2"/>
  </r>
  <r>
    <x v="1"/>
    <x v="3"/>
    <x v="0"/>
    <s v="None"/>
    <n v="2813"/>
    <n v="19500"/>
    <n v="24375"/>
    <n v="68566875"/>
    <n v="54853500"/>
    <n v="13713375"/>
    <x v="112"/>
    <n v="0.2"/>
  </r>
  <r>
    <x v="1"/>
    <x v="5"/>
    <x v="2"/>
    <s v="None"/>
    <n v="1887"/>
    <n v="5300"/>
    <n v="6625"/>
    <n v="12501375"/>
    <n v="10001100"/>
    <n v="2500275"/>
    <x v="112"/>
    <n v="0.2"/>
  </r>
  <r>
    <x v="1"/>
    <x v="5"/>
    <x v="9"/>
    <s v="None"/>
    <n v="1968"/>
    <n v="24000"/>
    <n v="30000"/>
    <n v="59040000"/>
    <n v="47232000"/>
    <n v="11808000"/>
    <x v="113"/>
    <n v="0.2"/>
  </r>
  <r>
    <x v="1"/>
    <x v="7"/>
    <x v="7"/>
    <s v="None"/>
    <n v="2580"/>
    <n v="20300"/>
    <n v="25375"/>
    <n v="65467500"/>
    <n v="52374000"/>
    <n v="13093500"/>
    <x v="113"/>
    <n v="0.2"/>
  </r>
  <r>
    <x v="1"/>
    <x v="0"/>
    <x v="8"/>
    <s v="None"/>
    <n v="2513"/>
    <n v="2900"/>
    <n v="3625"/>
    <n v="9109625"/>
    <n v="7287700"/>
    <n v="1821925"/>
    <x v="113"/>
    <n v="0.2"/>
  </r>
  <r>
    <x v="1"/>
    <x v="3"/>
    <x v="3"/>
    <s v="None"/>
    <n v="2546"/>
    <n v="10000"/>
    <n v="12500"/>
    <n v="31825000"/>
    <n v="25460000"/>
    <n v="6365000"/>
    <x v="233"/>
    <n v="0.2"/>
  </r>
  <r>
    <x v="1"/>
    <x v="2"/>
    <x v="6"/>
    <s v="None"/>
    <n v="359"/>
    <n v="4500"/>
    <n v="5625"/>
    <n v="2019375"/>
    <n v="1615500"/>
    <n v="403875"/>
    <x v="115"/>
    <n v="0.2"/>
  </r>
  <r>
    <x v="1"/>
    <x v="8"/>
    <x v="9"/>
    <s v="None"/>
    <n v="2646"/>
    <n v="16500"/>
    <n v="20625"/>
    <n v="54573750"/>
    <n v="43659000"/>
    <n v="10914750"/>
    <x v="117"/>
    <n v="0.2"/>
  </r>
  <r>
    <x v="1"/>
    <x v="3"/>
    <x v="1"/>
    <s v="None"/>
    <n v="2080"/>
    <n v="7300"/>
    <n v="9125"/>
    <n v="18980000"/>
    <n v="15184000"/>
    <n v="3796000"/>
    <x v="117"/>
    <n v="0.2"/>
  </r>
  <r>
    <x v="1"/>
    <x v="5"/>
    <x v="1"/>
    <s v="None"/>
    <n v="1333"/>
    <n v="7000"/>
    <n v="8750"/>
    <n v="11663750"/>
    <n v="9331000"/>
    <n v="2332750"/>
    <x v="118"/>
    <n v="0.2"/>
  </r>
  <r>
    <x v="1"/>
    <x v="5"/>
    <x v="3"/>
    <s v="None"/>
    <n v="339"/>
    <n v="9800"/>
    <n v="12250"/>
    <n v="4152750"/>
    <n v="3322200"/>
    <n v="830550"/>
    <x v="118"/>
    <n v="0.2"/>
  </r>
  <r>
    <x v="1"/>
    <x v="9"/>
    <x v="3"/>
    <s v="None"/>
    <n v="989"/>
    <n v="14400"/>
    <n v="18000"/>
    <n v="17802000"/>
    <n v="14241600"/>
    <n v="3560400"/>
    <x v="234"/>
    <n v="0.2"/>
  </r>
  <r>
    <x v="1"/>
    <x v="8"/>
    <x v="6"/>
    <s v="None"/>
    <n v="373"/>
    <n v="12100"/>
    <n v="15125"/>
    <n v="5641625"/>
    <n v="4513300"/>
    <n v="1128325"/>
    <x v="234"/>
    <n v="0.2"/>
  </r>
  <r>
    <x v="1"/>
    <x v="0"/>
    <x v="3"/>
    <s v="None"/>
    <n v="1838"/>
    <n v="2700"/>
    <n v="3375"/>
    <n v="6203250"/>
    <n v="4962600"/>
    <n v="1240650"/>
    <x v="235"/>
    <n v="0.2"/>
  </r>
  <r>
    <x v="1"/>
    <x v="6"/>
    <x v="6"/>
    <s v="None"/>
    <n v="941"/>
    <n v="6800"/>
    <n v="8500"/>
    <n v="7998500"/>
    <n v="6398800"/>
    <n v="1599700"/>
    <x v="235"/>
    <n v="0.2"/>
  </r>
  <r>
    <x v="1"/>
    <x v="9"/>
    <x v="5"/>
    <s v="None"/>
    <n v="489"/>
    <n v="14500"/>
    <n v="18125"/>
    <n v="8863125"/>
    <n v="7090500"/>
    <n v="1772625"/>
    <x v="120"/>
    <n v="0.2"/>
  </r>
  <r>
    <x v="1"/>
    <x v="3"/>
    <x v="8"/>
    <s v="None"/>
    <n v="134"/>
    <n v="4100"/>
    <n v="5125"/>
    <n v="686750"/>
    <n v="549400"/>
    <n v="137350"/>
    <x v="120"/>
    <n v="0.2"/>
  </r>
  <r>
    <x v="1"/>
    <x v="5"/>
    <x v="7"/>
    <s v="None"/>
    <n v="1973"/>
    <n v="17100"/>
    <n v="21375"/>
    <n v="42172875"/>
    <n v="33738300"/>
    <n v="8434575"/>
    <x v="120"/>
    <n v="0.2"/>
  </r>
  <r>
    <x v="1"/>
    <x v="5"/>
    <x v="5"/>
    <s v="None"/>
    <n v="2164"/>
    <n v="8800"/>
    <n v="11000"/>
    <n v="23804000"/>
    <n v="19043200"/>
    <n v="4760800"/>
    <x v="121"/>
    <n v="0.2"/>
  </r>
  <r>
    <x v="1"/>
    <x v="5"/>
    <x v="1"/>
    <s v="None"/>
    <n v="1313"/>
    <n v="12500"/>
    <n v="15625"/>
    <n v="20515625"/>
    <n v="16412500"/>
    <n v="4103125"/>
    <x v="236"/>
    <n v="0.2"/>
  </r>
  <r>
    <x v="1"/>
    <x v="1"/>
    <x v="5"/>
    <s v="None"/>
    <n v="700"/>
    <n v="19300"/>
    <n v="24125"/>
    <n v="16887500"/>
    <n v="13510000"/>
    <n v="3377500"/>
    <x v="123"/>
    <n v="0.2"/>
  </r>
  <r>
    <x v="1"/>
    <x v="2"/>
    <x v="0"/>
    <s v="None"/>
    <n v="1707"/>
    <n v="10800"/>
    <n v="13500"/>
    <n v="23044500"/>
    <n v="18435600"/>
    <n v="4608900"/>
    <x v="123"/>
    <n v="0.2"/>
  </r>
  <r>
    <x v="1"/>
    <x v="9"/>
    <x v="7"/>
    <s v="None"/>
    <n v="1240"/>
    <n v="18600"/>
    <n v="23250"/>
    <n v="28830000"/>
    <n v="23064000"/>
    <n v="5766000"/>
    <x v="123"/>
    <n v="0.2"/>
  </r>
  <r>
    <x v="1"/>
    <x v="0"/>
    <x v="3"/>
    <s v="None"/>
    <n v="1131"/>
    <n v="17500"/>
    <n v="21875"/>
    <n v="24740625"/>
    <n v="19792500"/>
    <n v="4948125"/>
    <x v="126"/>
    <n v="0.2"/>
  </r>
  <r>
    <x v="1"/>
    <x v="7"/>
    <x v="7"/>
    <s v="None"/>
    <n v="2758"/>
    <n v="8800"/>
    <n v="11000"/>
    <n v="30338000"/>
    <n v="24270400"/>
    <n v="6067600"/>
    <x v="127"/>
    <n v="0.2"/>
  </r>
  <r>
    <x v="1"/>
    <x v="2"/>
    <x v="3"/>
    <s v="None"/>
    <n v="702"/>
    <n v="4100"/>
    <n v="5125"/>
    <n v="3597750"/>
    <n v="2878200"/>
    <n v="719550"/>
    <x v="237"/>
    <n v="0.2"/>
  </r>
  <r>
    <x v="1"/>
    <x v="5"/>
    <x v="1"/>
    <s v="None"/>
    <n v="353"/>
    <n v="5100"/>
    <n v="6375"/>
    <n v="2250375"/>
    <n v="1800300"/>
    <n v="450075"/>
    <x v="238"/>
    <n v="0.2"/>
  </r>
  <r>
    <x v="1"/>
    <x v="3"/>
    <x v="0"/>
    <s v="None"/>
    <n v="196"/>
    <n v="9700"/>
    <n v="12125"/>
    <n v="2376500"/>
    <n v="1901200"/>
    <n v="475300"/>
    <x v="239"/>
    <n v="0.2"/>
  </r>
  <r>
    <x v="1"/>
    <x v="5"/>
    <x v="9"/>
    <s v="None"/>
    <n v="992"/>
    <n v="10900"/>
    <n v="13625"/>
    <n v="13516000"/>
    <n v="10812800"/>
    <n v="2703200"/>
    <x v="239"/>
    <n v="0.2"/>
  </r>
  <r>
    <x v="1"/>
    <x v="0"/>
    <x v="4"/>
    <s v="None"/>
    <n v="178"/>
    <n v="10100"/>
    <n v="12625"/>
    <n v="2247250"/>
    <n v="1797800"/>
    <n v="449450"/>
    <x v="130"/>
    <n v="0.2"/>
  </r>
  <r>
    <x v="1"/>
    <x v="0"/>
    <x v="4"/>
    <s v="None"/>
    <n v="1776"/>
    <n v="16600"/>
    <n v="20750"/>
    <n v="36852000"/>
    <n v="29481600"/>
    <n v="7370400"/>
    <x v="240"/>
    <n v="0.2"/>
  </r>
  <r>
    <x v="1"/>
    <x v="5"/>
    <x v="6"/>
    <s v="None"/>
    <n v="2935"/>
    <n v="17300"/>
    <n v="21625"/>
    <n v="63469375"/>
    <n v="50775500"/>
    <n v="12693875"/>
    <x v="240"/>
    <n v="0.2"/>
  </r>
  <r>
    <x v="1"/>
    <x v="3"/>
    <x v="9"/>
    <s v="None"/>
    <n v="2149"/>
    <n v="18100"/>
    <n v="22625"/>
    <n v="48621125"/>
    <n v="38896900"/>
    <n v="9724225"/>
    <x v="240"/>
    <n v="0.2"/>
  </r>
  <r>
    <x v="1"/>
    <x v="8"/>
    <x v="3"/>
    <s v="None"/>
    <n v="1191"/>
    <n v="2400"/>
    <n v="3000"/>
    <n v="3573000"/>
    <n v="2858400"/>
    <n v="714600"/>
    <x v="241"/>
    <n v="0.2"/>
  </r>
  <r>
    <x v="1"/>
    <x v="6"/>
    <x v="1"/>
    <s v="None"/>
    <n v="2165"/>
    <n v="9000"/>
    <n v="11250"/>
    <n v="24356250"/>
    <n v="19485000"/>
    <n v="4871250"/>
    <x v="241"/>
    <n v="0.2"/>
  </r>
  <r>
    <x v="1"/>
    <x v="8"/>
    <x v="6"/>
    <s v="None"/>
    <n v="1812"/>
    <n v="14700"/>
    <n v="18375"/>
    <n v="33295500"/>
    <n v="26636400"/>
    <n v="6659100"/>
    <x v="132"/>
    <n v="0.2"/>
  </r>
  <r>
    <x v="1"/>
    <x v="9"/>
    <x v="2"/>
    <s v="None"/>
    <n v="997"/>
    <n v="12700"/>
    <n v="15875"/>
    <n v="15827375"/>
    <n v="12661900"/>
    <n v="3165475"/>
    <x v="134"/>
    <n v="0.2"/>
  </r>
  <r>
    <x v="1"/>
    <x v="3"/>
    <x v="9"/>
    <s v="None"/>
    <n v="507"/>
    <n v="13600"/>
    <n v="17000"/>
    <n v="8619000"/>
    <n v="6895200"/>
    <n v="1723800"/>
    <x v="134"/>
    <n v="0.2"/>
  </r>
  <r>
    <x v="1"/>
    <x v="3"/>
    <x v="3"/>
    <s v="None"/>
    <n v="1450"/>
    <n v="3200"/>
    <n v="4000"/>
    <n v="5800000"/>
    <n v="4640000"/>
    <n v="1160000"/>
    <x v="134"/>
    <n v="0.2"/>
  </r>
  <r>
    <x v="1"/>
    <x v="6"/>
    <x v="3"/>
    <s v="None"/>
    <n v="848"/>
    <n v="17700"/>
    <n v="22125"/>
    <n v="18762000"/>
    <n v="15009600"/>
    <n v="3752400"/>
    <x v="135"/>
    <n v="0.2"/>
  </r>
  <r>
    <x v="1"/>
    <x v="4"/>
    <x v="2"/>
    <s v="None"/>
    <n v="2484"/>
    <n v="22134"/>
    <n v="27625"/>
    <n v="68620500"/>
    <n v="54980856"/>
    <n v="13639644"/>
    <x v="135"/>
    <n v="0.19876923076923078"/>
  </r>
  <r>
    <x v="1"/>
    <x v="4"/>
    <x v="6"/>
    <s v="None"/>
    <n v="2314"/>
    <n v="10300"/>
    <n v="12875"/>
    <n v="29792750"/>
    <n v="23834200"/>
    <n v="5958550"/>
    <x v="136"/>
    <n v="0.2"/>
  </r>
  <r>
    <x v="1"/>
    <x v="6"/>
    <x v="5"/>
    <s v="None"/>
    <n v="2031"/>
    <n v="19200"/>
    <n v="24000"/>
    <n v="48744000"/>
    <n v="38995200"/>
    <n v="9748800"/>
    <x v="137"/>
    <n v="0.2"/>
  </r>
  <r>
    <x v="1"/>
    <x v="6"/>
    <x v="7"/>
    <s v="None"/>
    <n v="1588"/>
    <n v="19300"/>
    <n v="24125"/>
    <n v="38310500"/>
    <n v="30648400"/>
    <n v="7662100"/>
    <x v="137"/>
    <n v="0.2"/>
  </r>
  <r>
    <x v="1"/>
    <x v="6"/>
    <x v="7"/>
    <s v="None"/>
    <n v="2454"/>
    <n v="1700"/>
    <n v="2125"/>
    <n v="5214750"/>
    <n v="4171800"/>
    <n v="1042950"/>
    <x v="137"/>
    <n v="0.2"/>
  </r>
  <r>
    <x v="1"/>
    <x v="1"/>
    <x v="4"/>
    <s v="None"/>
    <n v="664"/>
    <n v="21400"/>
    <n v="26750"/>
    <n v="17762000"/>
    <n v="14209600"/>
    <n v="3552400"/>
    <x v="242"/>
    <n v="0.2"/>
  </r>
  <r>
    <x v="1"/>
    <x v="7"/>
    <x v="2"/>
    <s v="None"/>
    <n v="609"/>
    <n v="22900"/>
    <n v="28625"/>
    <n v="17432625"/>
    <n v="13946100"/>
    <n v="3486525"/>
    <x v="242"/>
    <n v="0.2"/>
  </r>
  <r>
    <x v="1"/>
    <x v="6"/>
    <x v="3"/>
    <s v="None"/>
    <n v="413"/>
    <n v="21900"/>
    <n v="27375"/>
    <n v="11305875"/>
    <n v="9044700"/>
    <n v="2261175"/>
    <x v="242"/>
    <n v="0.2"/>
  </r>
  <r>
    <x v="1"/>
    <x v="8"/>
    <x v="9"/>
    <s v="None"/>
    <n v="1056"/>
    <n v="4500"/>
    <n v="5625"/>
    <n v="5940000"/>
    <n v="4752000"/>
    <n v="1188000"/>
    <x v="243"/>
    <n v="0.2"/>
  </r>
  <r>
    <x v="1"/>
    <x v="2"/>
    <x v="8"/>
    <s v="None"/>
    <n v="347"/>
    <n v="10000"/>
    <n v="12500"/>
    <n v="4337500"/>
    <n v="3470000"/>
    <n v="867500"/>
    <x v="243"/>
    <n v="0.2"/>
  </r>
  <r>
    <x v="1"/>
    <x v="7"/>
    <x v="4"/>
    <s v="None"/>
    <n v="1091"/>
    <n v="10200"/>
    <n v="12750"/>
    <n v="13910250"/>
    <n v="11128200"/>
    <n v="2782050"/>
    <x v="244"/>
    <n v="0.2"/>
  </r>
  <r>
    <x v="1"/>
    <x v="2"/>
    <x v="6"/>
    <s v="None"/>
    <n v="2530"/>
    <n v="23600"/>
    <n v="29500"/>
    <n v="74635000"/>
    <n v="59708000"/>
    <n v="14927000"/>
    <x v="140"/>
    <n v="0.2"/>
  </r>
  <r>
    <x v="1"/>
    <x v="8"/>
    <x v="0"/>
    <s v="None"/>
    <n v="2137"/>
    <n v="3300"/>
    <n v="4125"/>
    <n v="8815125"/>
    <n v="7052100"/>
    <n v="1763025"/>
    <x v="245"/>
    <n v="0.2"/>
  </r>
  <r>
    <x v="1"/>
    <x v="5"/>
    <x v="2"/>
    <s v="None"/>
    <n v="2586"/>
    <n v="16300"/>
    <n v="20375"/>
    <n v="52689750"/>
    <n v="42151800"/>
    <n v="10537950"/>
    <x v="245"/>
    <n v="0.2"/>
  </r>
  <r>
    <x v="1"/>
    <x v="6"/>
    <x v="8"/>
    <s v="None"/>
    <n v="1508"/>
    <n v="19800"/>
    <n v="24750"/>
    <n v="37323000"/>
    <n v="29858400"/>
    <n v="7464600"/>
    <x v="246"/>
    <n v="0.2"/>
  </r>
  <r>
    <x v="1"/>
    <x v="7"/>
    <x v="1"/>
    <s v="None"/>
    <n v="898"/>
    <n v="7700"/>
    <n v="9625"/>
    <n v="8643250"/>
    <n v="6914600"/>
    <n v="1728650"/>
    <x v="246"/>
    <n v="0.2"/>
  </r>
  <r>
    <x v="1"/>
    <x v="0"/>
    <x v="3"/>
    <s v="None"/>
    <n v="2704"/>
    <n v="24100"/>
    <n v="30125"/>
    <n v="81458000"/>
    <n v="65166400"/>
    <n v="16291600"/>
    <x v="247"/>
    <n v="0.2"/>
  </r>
  <r>
    <x v="1"/>
    <x v="3"/>
    <x v="0"/>
    <s v="None"/>
    <n v="1175"/>
    <n v="3100"/>
    <n v="3875"/>
    <n v="4553125"/>
    <n v="3642500"/>
    <n v="910625"/>
    <x v="248"/>
    <n v="0.2"/>
  </r>
  <r>
    <x v="1"/>
    <x v="0"/>
    <x v="7"/>
    <s v="None"/>
    <n v="1855"/>
    <n v="3700"/>
    <n v="4625"/>
    <n v="8579375"/>
    <n v="6863500"/>
    <n v="1715875"/>
    <x v="249"/>
    <n v="0.2"/>
  </r>
  <r>
    <x v="1"/>
    <x v="1"/>
    <x v="5"/>
    <s v="None"/>
    <n v="891"/>
    <n v="11500"/>
    <n v="14375"/>
    <n v="12808125"/>
    <n v="10246500"/>
    <n v="2561625"/>
    <x v="250"/>
    <n v="0.2"/>
  </r>
  <r>
    <x v="1"/>
    <x v="4"/>
    <x v="7"/>
    <s v="None"/>
    <n v="2511"/>
    <n v="6800"/>
    <n v="8500"/>
    <n v="21343500"/>
    <n v="17074800"/>
    <n v="4268700"/>
    <x v="250"/>
    <n v="0.2"/>
  </r>
  <r>
    <x v="1"/>
    <x v="7"/>
    <x v="5"/>
    <s v="None"/>
    <n v="152"/>
    <n v="11700"/>
    <n v="14625"/>
    <n v="2223000"/>
    <n v="1778400"/>
    <n v="444600"/>
    <x v="144"/>
    <n v="0.2"/>
  </r>
  <r>
    <x v="1"/>
    <x v="0"/>
    <x v="1"/>
    <s v="None"/>
    <n v="204"/>
    <n v="18000"/>
    <n v="22500"/>
    <n v="4590000"/>
    <n v="3672000"/>
    <n v="918000"/>
    <x v="145"/>
    <n v="0.2"/>
  </r>
  <r>
    <x v="1"/>
    <x v="8"/>
    <x v="3"/>
    <s v="None"/>
    <n v="517"/>
    <n v="20000"/>
    <n v="25000"/>
    <n v="12925000"/>
    <n v="10340000"/>
    <n v="2585000"/>
    <x v="145"/>
    <n v="0.2"/>
  </r>
  <r>
    <x v="1"/>
    <x v="6"/>
    <x v="5"/>
    <s v="None"/>
    <n v="244"/>
    <n v="19000"/>
    <n v="23750"/>
    <n v="5795000"/>
    <n v="4636000"/>
    <n v="1159000"/>
    <x v="251"/>
    <n v="0.2"/>
  </r>
  <r>
    <x v="1"/>
    <x v="1"/>
    <x v="3"/>
    <s v="None"/>
    <n v="2651"/>
    <n v="18500"/>
    <n v="23125"/>
    <n v="61304375"/>
    <n v="49043500"/>
    <n v="12260875"/>
    <x v="252"/>
    <n v="0.2"/>
  </r>
  <r>
    <x v="1"/>
    <x v="0"/>
    <x v="0"/>
    <s v="None"/>
    <n v="1049"/>
    <n v="5300"/>
    <n v="6625"/>
    <n v="6949625"/>
    <n v="5559700"/>
    <n v="1389925"/>
    <x v="253"/>
    <n v="0.2"/>
  </r>
  <r>
    <x v="1"/>
    <x v="0"/>
    <x v="0"/>
    <s v="None"/>
    <n v="1319"/>
    <n v="2100"/>
    <n v="2625"/>
    <n v="3462375"/>
    <n v="2769900"/>
    <n v="692475"/>
    <x v="254"/>
    <n v="0.2"/>
  </r>
  <r>
    <x v="1"/>
    <x v="0"/>
    <x v="9"/>
    <s v="None"/>
    <n v="829"/>
    <n v="7700"/>
    <n v="9625"/>
    <n v="7979125"/>
    <n v="6383300"/>
    <n v="1595825"/>
    <x v="254"/>
    <n v="0.2"/>
  </r>
  <r>
    <x v="1"/>
    <x v="3"/>
    <x v="3"/>
    <s v="None"/>
    <n v="1138"/>
    <n v="20900"/>
    <n v="26125"/>
    <n v="29730250"/>
    <n v="23784200"/>
    <n v="5946050"/>
    <x v="255"/>
    <n v="0.2"/>
  </r>
  <r>
    <x v="1"/>
    <x v="4"/>
    <x v="4"/>
    <s v="None"/>
    <n v="2836"/>
    <n v="13800"/>
    <n v="17250"/>
    <n v="48921000"/>
    <n v="39136800"/>
    <n v="9784200"/>
    <x v="256"/>
    <n v="0.2"/>
  </r>
  <r>
    <x v="1"/>
    <x v="5"/>
    <x v="7"/>
    <s v="None"/>
    <n v="1130"/>
    <n v="12500"/>
    <n v="15625"/>
    <n v="17656250"/>
    <n v="14125000"/>
    <n v="3531250"/>
    <x v="256"/>
    <n v="0.2"/>
  </r>
  <r>
    <x v="1"/>
    <x v="7"/>
    <x v="0"/>
    <s v="None"/>
    <n v="800"/>
    <n v="15100"/>
    <n v="18875"/>
    <n v="15100000"/>
    <n v="12080000"/>
    <n v="3020000"/>
    <x v="146"/>
    <n v="0.2"/>
  </r>
  <r>
    <x v="1"/>
    <x v="7"/>
    <x v="9"/>
    <s v="None"/>
    <n v="2429"/>
    <n v="21200"/>
    <n v="26500"/>
    <n v="64368500"/>
    <n v="51494800"/>
    <n v="12873700"/>
    <x v="257"/>
    <n v="0.2"/>
  </r>
  <r>
    <x v="1"/>
    <x v="3"/>
    <x v="8"/>
    <s v="None"/>
    <n v="1681"/>
    <n v="16400"/>
    <n v="20500"/>
    <n v="34460500"/>
    <n v="27568400"/>
    <n v="6892100"/>
    <x v="148"/>
    <n v="0.2"/>
  </r>
  <r>
    <x v="1"/>
    <x v="8"/>
    <x v="4"/>
    <s v="None"/>
    <n v="360"/>
    <n v="10000"/>
    <n v="12500"/>
    <n v="4500000"/>
    <n v="3600000"/>
    <n v="900000"/>
    <x v="149"/>
    <n v="0.2"/>
  </r>
  <r>
    <x v="1"/>
    <x v="4"/>
    <x v="4"/>
    <s v="None"/>
    <n v="2344"/>
    <n v="14200"/>
    <n v="17750"/>
    <n v="41606000"/>
    <n v="33284800"/>
    <n v="8321200"/>
    <x v="150"/>
    <n v="0.2"/>
  </r>
  <r>
    <x v="1"/>
    <x v="5"/>
    <x v="5"/>
    <s v="None"/>
    <n v="1594"/>
    <n v="4600"/>
    <n v="5750"/>
    <n v="9165500"/>
    <n v="7332400"/>
    <n v="1833100"/>
    <x v="152"/>
    <n v="0.2"/>
  </r>
  <r>
    <x v="1"/>
    <x v="0"/>
    <x v="3"/>
    <s v="None"/>
    <n v="769"/>
    <n v="23200"/>
    <n v="29000"/>
    <n v="22301000"/>
    <n v="17840800"/>
    <n v="4460200"/>
    <x v="155"/>
    <n v="0.2"/>
  </r>
  <r>
    <x v="1"/>
    <x v="8"/>
    <x v="4"/>
    <s v="None"/>
    <n v="760"/>
    <n v="12000"/>
    <n v="15000"/>
    <n v="11400000"/>
    <n v="9120000"/>
    <n v="2280000"/>
    <x v="155"/>
    <n v="0.2"/>
  </r>
  <r>
    <x v="1"/>
    <x v="8"/>
    <x v="5"/>
    <s v="None"/>
    <n v="1460"/>
    <n v="18700"/>
    <n v="23375"/>
    <n v="34127500"/>
    <n v="27302000"/>
    <n v="6825500"/>
    <x v="156"/>
    <n v="0.2"/>
  </r>
  <r>
    <x v="1"/>
    <x v="9"/>
    <x v="5"/>
    <s v="None"/>
    <n v="2649"/>
    <n v="6400"/>
    <n v="8000"/>
    <n v="21192000"/>
    <n v="16953600"/>
    <n v="4238400"/>
    <x v="158"/>
    <n v="0.2"/>
  </r>
  <r>
    <x v="1"/>
    <x v="4"/>
    <x v="6"/>
    <s v="None"/>
    <n v="979"/>
    <n v="19200"/>
    <n v="24000"/>
    <n v="23496000"/>
    <n v="18796800"/>
    <n v="4699200"/>
    <x v="159"/>
    <n v="0.2"/>
  </r>
  <r>
    <x v="1"/>
    <x v="3"/>
    <x v="5"/>
    <s v="None"/>
    <n v="2770"/>
    <n v="4700"/>
    <n v="5875"/>
    <n v="16273750"/>
    <n v="13019000"/>
    <n v="3254750"/>
    <x v="258"/>
    <n v="0.2"/>
  </r>
  <r>
    <x v="1"/>
    <x v="6"/>
    <x v="6"/>
    <s v="None"/>
    <n v="973"/>
    <n v="15500"/>
    <n v="19375"/>
    <n v="18851875"/>
    <n v="15081500"/>
    <n v="3770375"/>
    <x v="160"/>
    <n v="0.2"/>
  </r>
  <r>
    <x v="1"/>
    <x v="1"/>
    <x v="8"/>
    <s v="None"/>
    <n v="1975"/>
    <n v="20300"/>
    <n v="25375"/>
    <n v="50115625"/>
    <n v="40092500"/>
    <n v="10023125"/>
    <x v="161"/>
    <n v="0.2"/>
  </r>
  <r>
    <x v="1"/>
    <x v="1"/>
    <x v="9"/>
    <s v="None"/>
    <n v="1001"/>
    <n v="10100"/>
    <n v="12625"/>
    <n v="12637625"/>
    <n v="10110100"/>
    <n v="2527525"/>
    <x v="166"/>
    <n v="0.2"/>
  </r>
  <r>
    <x v="1"/>
    <x v="1"/>
    <x v="1"/>
    <s v="None"/>
    <n v="1790"/>
    <n v="19100"/>
    <n v="23875"/>
    <n v="42736250"/>
    <n v="34189000"/>
    <n v="8547250"/>
    <x v="259"/>
    <n v="0.2"/>
  </r>
  <r>
    <x v="1"/>
    <x v="4"/>
    <x v="6"/>
    <s v="None"/>
    <n v="752"/>
    <n v="2800"/>
    <n v="3500"/>
    <n v="2632000"/>
    <n v="2105600"/>
    <n v="526400"/>
    <x v="260"/>
    <n v="0.2"/>
  </r>
  <r>
    <x v="1"/>
    <x v="8"/>
    <x v="5"/>
    <s v="None"/>
    <n v="2048"/>
    <n v="3000"/>
    <n v="3750"/>
    <n v="7680000"/>
    <n v="6144000"/>
    <n v="1536000"/>
    <x v="169"/>
    <n v="0.2"/>
  </r>
  <r>
    <x v="1"/>
    <x v="9"/>
    <x v="4"/>
    <s v="None"/>
    <n v="1637"/>
    <n v="20400"/>
    <n v="25500"/>
    <n v="41743500"/>
    <n v="33394800"/>
    <n v="8348700"/>
    <x v="169"/>
    <n v="0.2"/>
  </r>
  <r>
    <x v="1"/>
    <x v="1"/>
    <x v="4"/>
    <s v="None"/>
    <n v="1002"/>
    <n v="9700"/>
    <n v="12125"/>
    <n v="12149250"/>
    <n v="9719400"/>
    <n v="2429850"/>
    <x v="171"/>
    <n v="0.2"/>
  </r>
  <r>
    <x v="1"/>
    <x v="2"/>
    <x v="4"/>
    <s v="None"/>
    <n v="2363"/>
    <n v="1700"/>
    <n v="2125"/>
    <n v="5021375"/>
    <n v="4017100"/>
    <n v="1004275"/>
    <x v="171"/>
    <n v="0.2"/>
  </r>
  <r>
    <x v="1"/>
    <x v="6"/>
    <x v="2"/>
    <s v="None"/>
    <n v="449"/>
    <n v="14300"/>
    <n v="17875"/>
    <n v="8025875"/>
    <n v="6420700"/>
    <n v="1605175"/>
    <x v="171"/>
    <n v="0.2"/>
  </r>
  <r>
    <x v="1"/>
    <x v="8"/>
    <x v="9"/>
    <s v="None"/>
    <n v="800"/>
    <n v="20000"/>
    <n v="25000"/>
    <n v="20000000"/>
    <n v="16000000"/>
    <n v="4000000"/>
    <x v="173"/>
    <n v="0.2"/>
  </r>
  <r>
    <x v="1"/>
    <x v="6"/>
    <x v="4"/>
    <s v="None"/>
    <n v="830"/>
    <n v="22400"/>
    <n v="28000"/>
    <n v="23240000"/>
    <n v="18592000"/>
    <n v="4648000"/>
    <x v="261"/>
    <n v="0.2"/>
  </r>
  <r>
    <x v="1"/>
    <x v="4"/>
    <x v="1"/>
    <s v="None"/>
    <n v="2697"/>
    <n v="10300"/>
    <n v="12875"/>
    <n v="34723875"/>
    <n v="27779100"/>
    <n v="6944775"/>
    <x v="175"/>
    <n v="0.2"/>
  </r>
  <r>
    <x v="1"/>
    <x v="8"/>
    <x v="5"/>
    <s v="None"/>
    <n v="217"/>
    <n v="7700"/>
    <n v="9625"/>
    <n v="2088625"/>
    <n v="1670900"/>
    <n v="417725"/>
    <x v="262"/>
    <n v="0.2"/>
  </r>
  <r>
    <x v="1"/>
    <x v="0"/>
    <x v="1"/>
    <s v="None"/>
    <n v="1027"/>
    <n v="9600"/>
    <n v="12000"/>
    <n v="12324000"/>
    <n v="9859200"/>
    <n v="2464800"/>
    <x v="176"/>
    <n v="0.2"/>
  </r>
  <r>
    <x v="1"/>
    <x v="3"/>
    <x v="4"/>
    <s v="None"/>
    <n v="1468"/>
    <n v="3600"/>
    <n v="4500"/>
    <n v="6606000"/>
    <n v="5284800"/>
    <n v="1321200"/>
    <x v="177"/>
    <n v="0.2"/>
  </r>
  <r>
    <x v="1"/>
    <x v="3"/>
    <x v="6"/>
    <s v="None"/>
    <n v="2493"/>
    <n v="6500"/>
    <n v="8125"/>
    <n v="20255625"/>
    <n v="16204500"/>
    <n v="4051125"/>
    <x v="178"/>
    <n v="0.2"/>
  </r>
  <r>
    <x v="2"/>
    <x v="9"/>
    <x v="2"/>
    <s v="None"/>
    <n v="173"/>
    <n v="12700"/>
    <n v="15875"/>
    <n v="2746375"/>
    <n v="2197100"/>
    <n v="549275"/>
    <x v="0"/>
    <n v="0.2"/>
  </r>
  <r>
    <x v="2"/>
    <x v="6"/>
    <x v="1"/>
    <s v="None"/>
    <n v="2068"/>
    <n v="21300"/>
    <n v="26625"/>
    <n v="55060500"/>
    <n v="44048400"/>
    <n v="11012100"/>
    <x v="179"/>
    <n v="0.2"/>
  </r>
  <r>
    <x v="2"/>
    <x v="7"/>
    <x v="5"/>
    <s v="None"/>
    <n v="171"/>
    <n v="15900"/>
    <n v="19875"/>
    <n v="3398625"/>
    <n v="2718900"/>
    <n v="679725"/>
    <x v="180"/>
    <n v="0.2"/>
  </r>
  <r>
    <x v="2"/>
    <x v="9"/>
    <x v="2"/>
    <s v="None"/>
    <n v="2824"/>
    <n v="10000"/>
    <n v="12500"/>
    <n v="35300000"/>
    <n v="28240000"/>
    <n v="7060000"/>
    <x v="4"/>
    <n v="0.2"/>
  </r>
  <r>
    <x v="2"/>
    <x v="3"/>
    <x v="1"/>
    <s v="None"/>
    <n v="1411"/>
    <n v="13700"/>
    <n v="17125"/>
    <n v="24163375"/>
    <n v="19330700"/>
    <n v="4832675"/>
    <x v="5"/>
    <n v="0.2"/>
  </r>
  <r>
    <x v="2"/>
    <x v="5"/>
    <x v="6"/>
    <s v="None"/>
    <n v="453"/>
    <n v="3800"/>
    <n v="4750"/>
    <n v="2151750"/>
    <n v="1721400"/>
    <n v="430350"/>
    <x v="184"/>
    <n v="0.2"/>
  </r>
  <r>
    <x v="2"/>
    <x v="0"/>
    <x v="1"/>
    <s v="None"/>
    <n v="2665"/>
    <n v="3700"/>
    <n v="4625"/>
    <n v="12325625"/>
    <n v="9860500"/>
    <n v="2465125"/>
    <x v="10"/>
    <n v="0.2"/>
  </r>
  <r>
    <x v="2"/>
    <x v="1"/>
    <x v="3"/>
    <s v="None"/>
    <n v="2162"/>
    <n v="24500"/>
    <n v="30625"/>
    <n v="66211250"/>
    <n v="52969000"/>
    <n v="13242250"/>
    <x v="12"/>
    <n v="0.2"/>
  </r>
  <r>
    <x v="2"/>
    <x v="3"/>
    <x v="0"/>
    <s v="None"/>
    <n v="2413"/>
    <n v="6400"/>
    <n v="8000"/>
    <n v="19304000"/>
    <n v="15443200"/>
    <n v="3860800"/>
    <x v="263"/>
    <n v="0.2"/>
  </r>
  <r>
    <x v="2"/>
    <x v="3"/>
    <x v="6"/>
    <s v="None"/>
    <n v="1536"/>
    <n v="21900"/>
    <n v="27375"/>
    <n v="42048000"/>
    <n v="33638400"/>
    <n v="8409600"/>
    <x v="15"/>
    <n v="0.2"/>
  </r>
  <r>
    <x v="2"/>
    <x v="7"/>
    <x v="7"/>
    <s v="None"/>
    <n v="1108"/>
    <n v="11800"/>
    <n v="14750"/>
    <n v="16343000"/>
    <n v="13074400"/>
    <n v="3268600"/>
    <x v="187"/>
    <n v="0.2"/>
  </r>
  <r>
    <x v="2"/>
    <x v="5"/>
    <x v="4"/>
    <s v="None"/>
    <n v="562"/>
    <n v="22300"/>
    <n v="27875"/>
    <n v="15665750"/>
    <n v="12532600"/>
    <n v="3133150"/>
    <x v="187"/>
    <n v="0.2"/>
  </r>
  <r>
    <x v="2"/>
    <x v="7"/>
    <x v="6"/>
    <s v="None"/>
    <n v="1568"/>
    <n v="13600"/>
    <n v="17000"/>
    <n v="26656000"/>
    <n v="21324800"/>
    <n v="5331200"/>
    <x v="187"/>
    <n v="0.2"/>
  </r>
  <r>
    <x v="2"/>
    <x v="7"/>
    <x v="2"/>
    <s v="None"/>
    <n v="1248"/>
    <n v="18800"/>
    <n v="23500"/>
    <n v="29328000"/>
    <n v="23462400"/>
    <n v="5865600"/>
    <x v="264"/>
    <n v="0.2"/>
  </r>
  <r>
    <x v="2"/>
    <x v="9"/>
    <x v="3"/>
    <s v="None"/>
    <n v="510"/>
    <n v="4200"/>
    <n v="5250"/>
    <n v="2677500"/>
    <n v="2142000"/>
    <n v="535500"/>
    <x v="265"/>
    <n v="0.2"/>
  </r>
  <r>
    <x v="2"/>
    <x v="7"/>
    <x v="5"/>
    <s v="None"/>
    <n v="523"/>
    <n v="17300"/>
    <n v="21625"/>
    <n v="11309875"/>
    <n v="9047900"/>
    <n v="2261975"/>
    <x v="16"/>
    <n v="0.2"/>
  </r>
  <r>
    <x v="2"/>
    <x v="2"/>
    <x v="6"/>
    <s v="None"/>
    <n v="1982"/>
    <n v="11400"/>
    <n v="14250"/>
    <n v="28243500"/>
    <n v="22594800"/>
    <n v="5648700"/>
    <x v="266"/>
    <n v="0.2"/>
  </r>
  <r>
    <x v="2"/>
    <x v="7"/>
    <x v="6"/>
    <s v="None"/>
    <n v="1437"/>
    <n v="14100"/>
    <n v="17625"/>
    <n v="25327125"/>
    <n v="20261700"/>
    <n v="5065425"/>
    <x v="266"/>
    <n v="0.2"/>
  </r>
  <r>
    <x v="2"/>
    <x v="7"/>
    <x v="6"/>
    <s v="None"/>
    <n v="418"/>
    <n v="13200"/>
    <n v="16500"/>
    <n v="6897000"/>
    <n v="5517600"/>
    <n v="1379400"/>
    <x v="18"/>
    <n v="0.2"/>
  </r>
  <r>
    <x v="2"/>
    <x v="4"/>
    <x v="7"/>
    <s v="None"/>
    <n v="2483"/>
    <n v="15100"/>
    <n v="18875"/>
    <n v="46866625"/>
    <n v="37493300"/>
    <n v="9373325"/>
    <x v="188"/>
    <n v="0.2"/>
  </r>
  <r>
    <x v="2"/>
    <x v="9"/>
    <x v="0"/>
    <s v="None"/>
    <n v="2056"/>
    <n v="19500"/>
    <n v="24375"/>
    <n v="50115000"/>
    <n v="40092000"/>
    <n v="10023000"/>
    <x v="22"/>
    <n v="0.2"/>
  </r>
  <r>
    <x v="2"/>
    <x v="6"/>
    <x v="1"/>
    <s v="None"/>
    <n v="1688"/>
    <n v="3300"/>
    <n v="4125"/>
    <n v="6963000"/>
    <n v="5570400"/>
    <n v="1392600"/>
    <x v="267"/>
    <n v="0.2"/>
  </r>
  <r>
    <x v="2"/>
    <x v="2"/>
    <x v="2"/>
    <s v="None"/>
    <n v="1045"/>
    <n v="19100"/>
    <n v="23875"/>
    <n v="24949375"/>
    <n v="19959500"/>
    <n v="4989875"/>
    <x v="24"/>
    <n v="0.2"/>
  </r>
  <r>
    <x v="2"/>
    <x v="0"/>
    <x v="0"/>
    <s v="None"/>
    <n v="2147"/>
    <n v="14500"/>
    <n v="18125"/>
    <n v="38914375"/>
    <n v="31131500"/>
    <n v="7782875"/>
    <x v="25"/>
    <n v="0.2"/>
  </r>
  <r>
    <x v="2"/>
    <x v="8"/>
    <x v="7"/>
    <s v="None"/>
    <n v="2144"/>
    <n v="4500"/>
    <n v="5625"/>
    <n v="12060000"/>
    <n v="9648000"/>
    <n v="2412000"/>
    <x v="26"/>
    <n v="0.2"/>
  </r>
  <r>
    <x v="2"/>
    <x v="1"/>
    <x v="2"/>
    <s v="None"/>
    <n v="1567"/>
    <n v="24600"/>
    <n v="30750"/>
    <n v="48185250"/>
    <n v="38548200"/>
    <n v="9637050"/>
    <x v="268"/>
    <n v="0.2"/>
  </r>
  <r>
    <x v="2"/>
    <x v="6"/>
    <x v="6"/>
    <s v="None"/>
    <n v="2779"/>
    <n v="15800"/>
    <n v="19750"/>
    <n v="54885250"/>
    <n v="43908200"/>
    <n v="10977050"/>
    <x v="27"/>
    <n v="0.2"/>
  </r>
  <r>
    <x v="2"/>
    <x v="6"/>
    <x v="9"/>
    <s v="None"/>
    <n v="2534"/>
    <n v="12700"/>
    <n v="15875"/>
    <n v="40227250"/>
    <n v="32181800"/>
    <n v="8045450"/>
    <x v="192"/>
    <n v="0.2"/>
  </r>
  <r>
    <x v="2"/>
    <x v="2"/>
    <x v="6"/>
    <s v="None"/>
    <n v="767"/>
    <n v="13000"/>
    <n v="16250"/>
    <n v="12463750"/>
    <n v="9971000"/>
    <n v="2492750"/>
    <x v="192"/>
    <n v="0.2"/>
  </r>
  <r>
    <x v="2"/>
    <x v="5"/>
    <x v="3"/>
    <s v="None"/>
    <n v="1869"/>
    <n v="22500"/>
    <n v="28125"/>
    <n v="52565625"/>
    <n v="42052500"/>
    <n v="10513125"/>
    <x v="193"/>
    <n v="0.2"/>
  </r>
  <r>
    <x v="2"/>
    <x v="6"/>
    <x v="1"/>
    <s v="None"/>
    <n v="1487"/>
    <n v="15300"/>
    <n v="19125"/>
    <n v="28438875"/>
    <n v="22751100"/>
    <n v="5687775"/>
    <x v="28"/>
    <n v="0.2"/>
  </r>
  <r>
    <x v="2"/>
    <x v="2"/>
    <x v="4"/>
    <s v="None"/>
    <n v="2951"/>
    <n v="21100"/>
    <n v="26375"/>
    <n v="77832625"/>
    <n v="62266100"/>
    <n v="15566525"/>
    <x v="29"/>
    <n v="0.2"/>
  </r>
  <r>
    <x v="2"/>
    <x v="2"/>
    <x v="1"/>
    <s v="None"/>
    <n v="2014"/>
    <n v="24000"/>
    <n v="30000"/>
    <n v="60420000"/>
    <n v="48336000"/>
    <n v="12084000"/>
    <x v="194"/>
    <n v="0.2"/>
  </r>
  <r>
    <x v="2"/>
    <x v="8"/>
    <x v="0"/>
    <s v="None"/>
    <n v="345"/>
    <n v="5900"/>
    <n v="7375"/>
    <n v="2544375"/>
    <n v="2035500"/>
    <n v="508875"/>
    <x v="194"/>
    <n v="0.2"/>
  </r>
  <r>
    <x v="2"/>
    <x v="7"/>
    <x v="5"/>
    <s v="None"/>
    <n v="1023"/>
    <n v="8900"/>
    <n v="11125"/>
    <n v="11380875"/>
    <n v="9104700"/>
    <n v="2276175"/>
    <x v="269"/>
    <n v="0.2"/>
  </r>
  <r>
    <x v="2"/>
    <x v="9"/>
    <x v="4"/>
    <s v="None"/>
    <n v="682"/>
    <n v="12000"/>
    <n v="15000"/>
    <n v="10230000"/>
    <n v="8184000"/>
    <n v="2046000"/>
    <x v="270"/>
    <n v="0.2"/>
  </r>
  <r>
    <x v="2"/>
    <x v="9"/>
    <x v="8"/>
    <s v="None"/>
    <n v="1415"/>
    <n v="24600"/>
    <n v="30750"/>
    <n v="43511250"/>
    <n v="34809000"/>
    <n v="8702250"/>
    <x v="30"/>
    <n v="0.2"/>
  </r>
  <r>
    <x v="2"/>
    <x v="2"/>
    <x v="9"/>
    <s v="None"/>
    <n v="2580"/>
    <n v="14900"/>
    <n v="18625"/>
    <n v="48052500"/>
    <n v="38442000"/>
    <n v="9610500"/>
    <x v="30"/>
    <n v="0.2"/>
  </r>
  <r>
    <x v="2"/>
    <x v="1"/>
    <x v="3"/>
    <s v="None"/>
    <n v="1900"/>
    <n v="4400"/>
    <n v="5500"/>
    <n v="10450000"/>
    <n v="8360000"/>
    <n v="2090000"/>
    <x v="271"/>
    <n v="0.2"/>
  </r>
  <r>
    <x v="2"/>
    <x v="3"/>
    <x v="7"/>
    <s v="None"/>
    <n v="1197"/>
    <n v="19800"/>
    <n v="24750"/>
    <n v="29625750"/>
    <n v="23700600"/>
    <n v="5925150"/>
    <x v="31"/>
    <n v="0.2"/>
  </r>
  <r>
    <x v="2"/>
    <x v="0"/>
    <x v="9"/>
    <s v="None"/>
    <n v="428"/>
    <n v="22600"/>
    <n v="28250"/>
    <n v="12091000"/>
    <n v="9672800"/>
    <n v="2418200"/>
    <x v="197"/>
    <n v="0.2"/>
  </r>
  <r>
    <x v="2"/>
    <x v="6"/>
    <x v="5"/>
    <s v="None"/>
    <n v="2065"/>
    <n v="4000"/>
    <n v="5000"/>
    <n v="10325000"/>
    <n v="8260000"/>
    <n v="2065000"/>
    <x v="197"/>
    <n v="0.2"/>
  </r>
  <r>
    <x v="2"/>
    <x v="5"/>
    <x v="8"/>
    <s v="None"/>
    <n v="1160"/>
    <n v="12200"/>
    <n v="15250"/>
    <n v="17690000"/>
    <n v="14152000"/>
    <n v="3538000"/>
    <x v="35"/>
    <n v="0.2"/>
  </r>
  <r>
    <x v="2"/>
    <x v="9"/>
    <x v="7"/>
    <s v="None"/>
    <n v="1897"/>
    <n v="19800"/>
    <n v="24750"/>
    <n v="46950750"/>
    <n v="37560600"/>
    <n v="9390150"/>
    <x v="36"/>
    <n v="0.2"/>
  </r>
  <r>
    <x v="2"/>
    <x v="0"/>
    <x v="8"/>
    <s v="None"/>
    <n v="868"/>
    <n v="17700"/>
    <n v="22125"/>
    <n v="19204500"/>
    <n v="15363600"/>
    <n v="3840900"/>
    <x v="38"/>
    <n v="0.2"/>
  </r>
  <r>
    <x v="2"/>
    <x v="5"/>
    <x v="2"/>
    <s v="None"/>
    <n v="1375"/>
    <n v="11900"/>
    <n v="14875"/>
    <n v="20453125"/>
    <n v="16362500"/>
    <n v="4090625"/>
    <x v="41"/>
    <n v="0.2"/>
  </r>
  <r>
    <x v="2"/>
    <x v="1"/>
    <x v="4"/>
    <s v="None"/>
    <n v="2599"/>
    <n v="18100"/>
    <n v="22625"/>
    <n v="58802375"/>
    <n v="47041900"/>
    <n v="11760475"/>
    <x v="272"/>
    <n v="0.2"/>
  </r>
  <r>
    <x v="2"/>
    <x v="2"/>
    <x v="9"/>
    <s v="None"/>
    <n v="2442"/>
    <n v="13900"/>
    <n v="17375"/>
    <n v="42429750"/>
    <n v="33943800"/>
    <n v="8485950"/>
    <x v="42"/>
    <n v="0.2"/>
  </r>
  <r>
    <x v="2"/>
    <x v="5"/>
    <x v="9"/>
    <s v="None"/>
    <n v="1072"/>
    <n v="20300"/>
    <n v="25375"/>
    <n v="27202000"/>
    <n v="21761600"/>
    <n v="5440400"/>
    <x v="273"/>
    <n v="0.2"/>
  </r>
  <r>
    <x v="2"/>
    <x v="7"/>
    <x v="7"/>
    <s v="None"/>
    <n v="1589"/>
    <n v="22000"/>
    <n v="27500"/>
    <n v="43697500"/>
    <n v="34958000"/>
    <n v="8739500"/>
    <x v="274"/>
    <n v="0.2"/>
  </r>
  <r>
    <x v="2"/>
    <x v="6"/>
    <x v="9"/>
    <s v="None"/>
    <n v="2427"/>
    <n v="13100"/>
    <n v="16375"/>
    <n v="39742125"/>
    <n v="31793700"/>
    <n v="7948425"/>
    <x v="274"/>
    <n v="0.2"/>
  </r>
  <r>
    <x v="2"/>
    <x v="4"/>
    <x v="4"/>
    <s v="None"/>
    <n v="1453"/>
    <n v="23600"/>
    <n v="29500"/>
    <n v="42863500"/>
    <n v="34290800"/>
    <n v="8572700"/>
    <x v="274"/>
    <n v="0.2"/>
  </r>
  <r>
    <x v="2"/>
    <x v="5"/>
    <x v="8"/>
    <s v="None"/>
    <n v="1724"/>
    <n v="7400"/>
    <n v="9250"/>
    <n v="15947000"/>
    <n v="12757600"/>
    <n v="3189400"/>
    <x v="274"/>
    <n v="0.2"/>
  </r>
  <r>
    <x v="2"/>
    <x v="1"/>
    <x v="3"/>
    <s v="None"/>
    <n v="735"/>
    <n v="15200"/>
    <n v="19000"/>
    <n v="13965000"/>
    <n v="11172000"/>
    <n v="2793000"/>
    <x v="275"/>
    <n v="0.2"/>
  </r>
  <r>
    <x v="2"/>
    <x v="6"/>
    <x v="3"/>
    <s v="None"/>
    <n v="2502"/>
    <n v="13800"/>
    <n v="17250"/>
    <n v="43159500"/>
    <n v="34527600"/>
    <n v="8631900"/>
    <x v="275"/>
    <n v="0.2"/>
  </r>
  <r>
    <x v="2"/>
    <x v="2"/>
    <x v="6"/>
    <s v="None"/>
    <n v="616"/>
    <n v="22900"/>
    <n v="28625"/>
    <n v="17633000"/>
    <n v="14106400"/>
    <n v="3526600"/>
    <x v="51"/>
    <n v="0.2"/>
  </r>
  <r>
    <x v="2"/>
    <x v="3"/>
    <x v="1"/>
    <s v="None"/>
    <n v="2461"/>
    <n v="21200"/>
    <n v="26500"/>
    <n v="65216500"/>
    <n v="52173200"/>
    <n v="13043300"/>
    <x v="51"/>
    <n v="0.2"/>
  </r>
  <r>
    <x v="2"/>
    <x v="2"/>
    <x v="8"/>
    <s v="None"/>
    <n v="325"/>
    <n v="11500"/>
    <n v="14375"/>
    <n v="4671875"/>
    <n v="3737500"/>
    <n v="934375"/>
    <x v="52"/>
    <n v="0.2"/>
  </r>
  <r>
    <x v="2"/>
    <x v="6"/>
    <x v="9"/>
    <s v="None"/>
    <n v="750"/>
    <n v="21000"/>
    <n v="26250"/>
    <n v="19687500"/>
    <n v="15750000"/>
    <n v="3937500"/>
    <x v="276"/>
    <n v="0.2"/>
  </r>
  <r>
    <x v="2"/>
    <x v="2"/>
    <x v="3"/>
    <s v="None"/>
    <n v="673"/>
    <n v="6100"/>
    <n v="7625"/>
    <n v="5131625"/>
    <n v="4105300"/>
    <n v="1026325"/>
    <x v="277"/>
    <n v="0.2"/>
  </r>
  <r>
    <x v="2"/>
    <x v="3"/>
    <x v="8"/>
    <s v="None"/>
    <n v="2770"/>
    <n v="21800"/>
    <n v="27250"/>
    <n v="75482500"/>
    <n v="60386000"/>
    <n v="15096500"/>
    <x v="278"/>
    <n v="0.2"/>
  </r>
  <r>
    <x v="2"/>
    <x v="4"/>
    <x v="7"/>
    <s v="None"/>
    <n v="1562"/>
    <n v="12100"/>
    <n v="15125"/>
    <n v="23625250"/>
    <n v="18900200"/>
    <n v="4725050"/>
    <x v="56"/>
    <n v="0.2"/>
  </r>
  <r>
    <x v="2"/>
    <x v="9"/>
    <x v="2"/>
    <s v="None"/>
    <n v="2484"/>
    <n v="13000"/>
    <n v="16250"/>
    <n v="40365000"/>
    <n v="32292000"/>
    <n v="8073000"/>
    <x v="56"/>
    <n v="0.2"/>
  </r>
  <r>
    <x v="2"/>
    <x v="0"/>
    <x v="9"/>
    <s v="None"/>
    <n v="257"/>
    <n v="16600"/>
    <n v="20750"/>
    <n v="5332750"/>
    <n v="4266200"/>
    <n v="1066550"/>
    <x v="206"/>
    <n v="0.2"/>
  </r>
  <r>
    <x v="2"/>
    <x v="1"/>
    <x v="7"/>
    <s v="None"/>
    <n v="1395"/>
    <n v="17000"/>
    <n v="21250"/>
    <n v="29643750"/>
    <n v="23715000"/>
    <n v="5928750"/>
    <x v="279"/>
    <n v="0.2"/>
  </r>
  <r>
    <x v="2"/>
    <x v="3"/>
    <x v="8"/>
    <s v="None"/>
    <n v="2635"/>
    <n v="16600"/>
    <n v="20750"/>
    <n v="54676250"/>
    <n v="43741000"/>
    <n v="10935250"/>
    <x v="280"/>
    <n v="0.2"/>
  </r>
  <r>
    <x v="2"/>
    <x v="8"/>
    <x v="3"/>
    <s v="None"/>
    <n v="155"/>
    <n v="3700"/>
    <n v="4625"/>
    <n v="716875"/>
    <n v="573500"/>
    <n v="143375"/>
    <x v="62"/>
    <n v="0.2"/>
  </r>
  <r>
    <x v="2"/>
    <x v="7"/>
    <x v="6"/>
    <s v="None"/>
    <n v="1552"/>
    <n v="14500"/>
    <n v="18125"/>
    <n v="28130000"/>
    <n v="22504000"/>
    <n v="5626000"/>
    <x v="62"/>
    <n v="0.2"/>
  </r>
  <r>
    <x v="2"/>
    <x v="7"/>
    <x v="7"/>
    <s v="None"/>
    <n v="189"/>
    <n v="15000"/>
    <n v="18750"/>
    <n v="3543750"/>
    <n v="2835000"/>
    <n v="708750"/>
    <x v="63"/>
    <n v="0.2"/>
  </r>
  <r>
    <x v="2"/>
    <x v="7"/>
    <x v="7"/>
    <s v="None"/>
    <n v="1468"/>
    <n v="11800"/>
    <n v="14750"/>
    <n v="21653000"/>
    <n v="17322400"/>
    <n v="4330600"/>
    <x v="209"/>
    <n v="0.2"/>
  </r>
  <r>
    <x v="2"/>
    <x v="4"/>
    <x v="1"/>
    <s v="None"/>
    <n v="1085"/>
    <n v="2900"/>
    <n v="3625"/>
    <n v="3933125"/>
    <n v="3146500"/>
    <n v="786625"/>
    <x v="209"/>
    <n v="0.2"/>
  </r>
  <r>
    <x v="2"/>
    <x v="9"/>
    <x v="0"/>
    <s v="None"/>
    <n v="1651"/>
    <n v="10100"/>
    <n v="12625"/>
    <n v="20843875"/>
    <n v="16675100"/>
    <n v="4168775"/>
    <x v="211"/>
    <n v="0.2"/>
  </r>
  <r>
    <x v="2"/>
    <x v="9"/>
    <x v="8"/>
    <s v="None"/>
    <n v="2984"/>
    <n v="20300"/>
    <n v="25375"/>
    <n v="75719000"/>
    <n v="60575200"/>
    <n v="15143800"/>
    <x v="211"/>
    <n v="0.2"/>
  </r>
  <r>
    <x v="2"/>
    <x v="4"/>
    <x v="0"/>
    <s v="None"/>
    <n v="1517"/>
    <n v="5700"/>
    <n v="7125"/>
    <n v="10808625"/>
    <n v="8646900"/>
    <n v="2161725"/>
    <x v="211"/>
    <n v="0.2"/>
  </r>
  <r>
    <x v="2"/>
    <x v="3"/>
    <x v="4"/>
    <s v="None"/>
    <n v="2237"/>
    <n v="9300"/>
    <n v="11625"/>
    <n v="26005125"/>
    <n v="20804100"/>
    <n v="5201025"/>
    <x v="281"/>
    <n v="0.2"/>
  </r>
  <r>
    <x v="2"/>
    <x v="8"/>
    <x v="9"/>
    <s v="None"/>
    <n v="2151"/>
    <n v="5200"/>
    <n v="6500"/>
    <n v="13981500"/>
    <n v="11185200"/>
    <n v="2796300"/>
    <x v="281"/>
    <n v="0.2"/>
  </r>
  <r>
    <x v="2"/>
    <x v="8"/>
    <x v="3"/>
    <s v="None"/>
    <n v="1522"/>
    <n v="6600"/>
    <n v="8250"/>
    <n v="12556500"/>
    <n v="10045200"/>
    <n v="2511300"/>
    <x v="281"/>
    <n v="0.2"/>
  </r>
  <r>
    <x v="2"/>
    <x v="3"/>
    <x v="8"/>
    <s v="None"/>
    <n v="1654"/>
    <n v="2900"/>
    <n v="3625"/>
    <n v="5995750"/>
    <n v="4796600"/>
    <n v="1199150"/>
    <x v="212"/>
    <n v="0.2"/>
  </r>
  <r>
    <x v="2"/>
    <x v="6"/>
    <x v="8"/>
    <s v="None"/>
    <n v="489"/>
    <n v="22500"/>
    <n v="28125"/>
    <n v="13753125"/>
    <n v="11002500"/>
    <n v="2750625"/>
    <x v="72"/>
    <n v="0.2"/>
  </r>
  <r>
    <x v="2"/>
    <x v="7"/>
    <x v="7"/>
    <s v="None"/>
    <n v="920"/>
    <n v="22800"/>
    <n v="28500"/>
    <n v="26220000"/>
    <n v="20976000"/>
    <n v="5244000"/>
    <x v="72"/>
    <n v="0.2"/>
  </r>
  <r>
    <x v="2"/>
    <x v="7"/>
    <x v="4"/>
    <s v="None"/>
    <n v="718"/>
    <n v="18500"/>
    <n v="23125"/>
    <n v="16603750"/>
    <n v="13283000"/>
    <n v="3320750"/>
    <x v="73"/>
    <n v="0.2"/>
  </r>
  <r>
    <x v="2"/>
    <x v="2"/>
    <x v="8"/>
    <s v="None"/>
    <n v="2048"/>
    <n v="18000"/>
    <n v="22500"/>
    <n v="46080000"/>
    <n v="36864000"/>
    <n v="9216000"/>
    <x v="74"/>
    <n v="0.2"/>
  </r>
  <r>
    <x v="2"/>
    <x v="0"/>
    <x v="2"/>
    <s v="None"/>
    <n v="2046"/>
    <n v="12600"/>
    <n v="15750"/>
    <n v="32224500"/>
    <n v="25779600"/>
    <n v="6444900"/>
    <x v="74"/>
    <n v="0.2"/>
  </r>
  <r>
    <x v="2"/>
    <x v="0"/>
    <x v="6"/>
    <s v="None"/>
    <n v="112"/>
    <n v="8100"/>
    <n v="10125"/>
    <n v="1134000"/>
    <n v="907200"/>
    <n v="226800"/>
    <x v="75"/>
    <n v="0.2"/>
  </r>
  <r>
    <x v="2"/>
    <x v="1"/>
    <x v="2"/>
    <s v="None"/>
    <n v="2353"/>
    <n v="2800"/>
    <n v="3500"/>
    <n v="8235500"/>
    <n v="6588400"/>
    <n v="1647100"/>
    <x v="213"/>
    <n v="0.2"/>
  </r>
  <r>
    <x v="2"/>
    <x v="7"/>
    <x v="2"/>
    <s v="None"/>
    <n v="1550"/>
    <n v="10900"/>
    <n v="13625"/>
    <n v="21118750"/>
    <n v="16895000"/>
    <n v="4223750"/>
    <x v="215"/>
    <n v="0.2"/>
  </r>
  <r>
    <x v="2"/>
    <x v="1"/>
    <x v="4"/>
    <s v="None"/>
    <n v="1069"/>
    <n v="4900"/>
    <n v="6125"/>
    <n v="6547625"/>
    <n v="5238100"/>
    <n v="1309525"/>
    <x v="216"/>
    <n v="0.2"/>
  </r>
  <r>
    <x v="2"/>
    <x v="3"/>
    <x v="0"/>
    <s v="None"/>
    <n v="1385"/>
    <n v="20800"/>
    <n v="26000"/>
    <n v="36010000"/>
    <n v="28808000"/>
    <n v="7202000"/>
    <x v="282"/>
    <n v="0.2"/>
  </r>
  <r>
    <x v="2"/>
    <x v="4"/>
    <x v="6"/>
    <s v="None"/>
    <n v="1550"/>
    <n v="3600"/>
    <n v="4500"/>
    <n v="6975000"/>
    <n v="5580000"/>
    <n v="1395000"/>
    <x v="283"/>
    <n v="0.2"/>
  </r>
  <r>
    <x v="2"/>
    <x v="3"/>
    <x v="7"/>
    <s v="None"/>
    <n v="2926"/>
    <n v="22300"/>
    <n v="27875"/>
    <n v="81562250"/>
    <n v="65249800"/>
    <n v="16312450"/>
    <x v="80"/>
    <n v="0.2"/>
  </r>
  <r>
    <x v="2"/>
    <x v="8"/>
    <x v="8"/>
    <s v="None"/>
    <n v="2348"/>
    <n v="13200"/>
    <n v="16500"/>
    <n v="38742000"/>
    <n v="30993600"/>
    <n v="7748400"/>
    <x v="80"/>
    <n v="0.2"/>
  </r>
  <r>
    <x v="2"/>
    <x v="1"/>
    <x v="3"/>
    <s v="None"/>
    <n v="1571"/>
    <n v="24400"/>
    <n v="30500"/>
    <n v="47915500"/>
    <n v="38332400"/>
    <n v="9583100"/>
    <x v="81"/>
    <n v="0.2"/>
  </r>
  <r>
    <x v="2"/>
    <x v="7"/>
    <x v="1"/>
    <s v="None"/>
    <n v="1018"/>
    <n v="10400"/>
    <n v="13000"/>
    <n v="13234000"/>
    <n v="10587200"/>
    <n v="2646800"/>
    <x v="82"/>
    <n v="0.2"/>
  </r>
  <r>
    <x v="2"/>
    <x v="3"/>
    <x v="2"/>
    <s v="None"/>
    <n v="1987"/>
    <n v="7200"/>
    <n v="9000"/>
    <n v="17883000"/>
    <n v="14306400"/>
    <n v="3576600"/>
    <x v="284"/>
    <n v="0.2"/>
  </r>
  <r>
    <x v="2"/>
    <x v="9"/>
    <x v="7"/>
    <s v="None"/>
    <n v="1584"/>
    <n v="21800"/>
    <n v="27250"/>
    <n v="43164000"/>
    <n v="34531200"/>
    <n v="8632800"/>
    <x v="285"/>
    <n v="0.2"/>
  </r>
  <r>
    <x v="2"/>
    <x v="7"/>
    <x v="7"/>
    <s v="None"/>
    <n v="2819"/>
    <n v="11100"/>
    <n v="13875"/>
    <n v="39113625"/>
    <n v="31290900"/>
    <n v="7822725"/>
    <x v="286"/>
    <n v="0.2"/>
  </r>
  <r>
    <x v="2"/>
    <x v="4"/>
    <x v="5"/>
    <s v="None"/>
    <n v="859"/>
    <n v="17500"/>
    <n v="21875"/>
    <n v="18790625"/>
    <n v="15032500"/>
    <n v="3758125"/>
    <x v="287"/>
    <n v="0.2"/>
  </r>
  <r>
    <x v="2"/>
    <x v="9"/>
    <x v="8"/>
    <s v="None"/>
    <n v="824"/>
    <n v="16300"/>
    <n v="20375"/>
    <n v="16789000"/>
    <n v="13431200"/>
    <n v="3357800"/>
    <x v="288"/>
    <n v="0.2"/>
  </r>
  <r>
    <x v="2"/>
    <x v="6"/>
    <x v="2"/>
    <s v="None"/>
    <n v="2411"/>
    <n v="6800"/>
    <n v="8500"/>
    <n v="20493500"/>
    <n v="16394800"/>
    <n v="4098700"/>
    <x v="84"/>
    <n v="0.2"/>
  </r>
  <r>
    <x v="2"/>
    <x v="2"/>
    <x v="1"/>
    <s v="None"/>
    <n v="334"/>
    <n v="19600"/>
    <n v="24500"/>
    <n v="8183000"/>
    <n v="6546400"/>
    <n v="1636600"/>
    <x v="85"/>
    <n v="0.2"/>
  </r>
  <r>
    <x v="2"/>
    <x v="4"/>
    <x v="8"/>
    <s v="None"/>
    <n v="2710"/>
    <n v="12900"/>
    <n v="16125"/>
    <n v="43698750"/>
    <n v="34959000"/>
    <n v="8739750"/>
    <x v="85"/>
    <n v="0.2"/>
  </r>
  <r>
    <x v="2"/>
    <x v="2"/>
    <x v="7"/>
    <s v="None"/>
    <n v="2525"/>
    <n v="19100"/>
    <n v="23875"/>
    <n v="60284375"/>
    <n v="48227500"/>
    <n v="12056875"/>
    <x v="221"/>
    <n v="0.2"/>
  </r>
  <r>
    <x v="2"/>
    <x v="9"/>
    <x v="9"/>
    <s v="None"/>
    <n v="1660"/>
    <n v="16200"/>
    <n v="20250"/>
    <n v="33615000"/>
    <n v="26892000"/>
    <n v="6723000"/>
    <x v="289"/>
    <n v="0.2"/>
  </r>
  <r>
    <x v="2"/>
    <x v="0"/>
    <x v="5"/>
    <s v="None"/>
    <n v="800"/>
    <n v="21600"/>
    <n v="27000"/>
    <n v="21600000"/>
    <n v="17280000"/>
    <n v="4320000"/>
    <x v="289"/>
    <n v="0.2"/>
  </r>
  <r>
    <x v="2"/>
    <x v="1"/>
    <x v="9"/>
    <s v="None"/>
    <n v="2366"/>
    <n v="12900"/>
    <n v="16125"/>
    <n v="38151750"/>
    <n v="30521400"/>
    <n v="7630350"/>
    <x v="86"/>
    <n v="0.2"/>
  </r>
  <r>
    <x v="2"/>
    <x v="1"/>
    <x v="3"/>
    <s v="None"/>
    <n v="1272"/>
    <n v="9300"/>
    <n v="11625"/>
    <n v="14787000"/>
    <n v="11829600"/>
    <n v="2957400"/>
    <x v="87"/>
    <n v="0.2"/>
  </r>
  <r>
    <x v="2"/>
    <x v="5"/>
    <x v="9"/>
    <s v="None"/>
    <n v="217"/>
    <n v="2600"/>
    <n v="3250"/>
    <n v="705250"/>
    <n v="564200"/>
    <n v="141050"/>
    <x v="87"/>
    <n v="0.2"/>
  </r>
  <r>
    <x v="2"/>
    <x v="3"/>
    <x v="9"/>
    <s v="None"/>
    <n v="2416"/>
    <n v="13600"/>
    <n v="17000"/>
    <n v="41072000"/>
    <n v="32857600"/>
    <n v="8214400"/>
    <x v="290"/>
    <n v="0.2"/>
  </r>
  <r>
    <x v="2"/>
    <x v="8"/>
    <x v="0"/>
    <s v="None"/>
    <n v="1126"/>
    <n v="22900"/>
    <n v="28625"/>
    <n v="32231750"/>
    <n v="25785400"/>
    <n v="6446350"/>
    <x v="222"/>
    <n v="0.2"/>
  </r>
  <r>
    <x v="2"/>
    <x v="9"/>
    <x v="6"/>
    <s v="None"/>
    <n v="2458"/>
    <n v="19800"/>
    <n v="24750"/>
    <n v="60835500"/>
    <n v="48668400"/>
    <n v="12167100"/>
    <x v="291"/>
    <n v="0.2"/>
  </r>
  <r>
    <x v="2"/>
    <x v="5"/>
    <x v="1"/>
    <s v="None"/>
    <n v="2366"/>
    <n v="15700"/>
    <n v="19625"/>
    <n v="46432750"/>
    <n v="37146200"/>
    <n v="9286550"/>
    <x v="291"/>
    <n v="0.2"/>
  </r>
  <r>
    <x v="2"/>
    <x v="3"/>
    <x v="1"/>
    <s v="None"/>
    <n v="986"/>
    <n v="11400"/>
    <n v="14250"/>
    <n v="14050500"/>
    <n v="11240400"/>
    <n v="2810100"/>
    <x v="223"/>
    <n v="0.2"/>
  </r>
  <r>
    <x v="2"/>
    <x v="0"/>
    <x v="1"/>
    <s v="None"/>
    <n v="1751"/>
    <n v="17400"/>
    <n v="21750"/>
    <n v="38084250"/>
    <n v="30467400"/>
    <n v="7616850"/>
    <x v="292"/>
    <n v="0.2"/>
  </r>
  <r>
    <x v="2"/>
    <x v="5"/>
    <x v="5"/>
    <s v="None"/>
    <n v="2336"/>
    <n v="7200"/>
    <n v="9000"/>
    <n v="21024000"/>
    <n v="16819200"/>
    <n v="4204800"/>
    <x v="292"/>
    <n v="0.2"/>
  </r>
  <r>
    <x v="2"/>
    <x v="0"/>
    <x v="9"/>
    <s v="None"/>
    <n v="2061"/>
    <n v="13700"/>
    <n v="17125"/>
    <n v="35294625"/>
    <n v="28235700"/>
    <n v="7058925"/>
    <x v="92"/>
    <n v="0.2"/>
  </r>
  <r>
    <x v="2"/>
    <x v="1"/>
    <x v="1"/>
    <s v="None"/>
    <n v="2653"/>
    <n v="24900"/>
    <n v="31125"/>
    <n v="82574625"/>
    <n v="66059700"/>
    <n v="16514925"/>
    <x v="293"/>
    <n v="0.2"/>
  </r>
  <r>
    <x v="2"/>
    <x v="3"/>
    <x v="3"/>
    <s v="None"/>
    <n v="2101"/>
    <n v="2500"/>
    <n v="3125"/>
    <n v="6565625"/>
    <n v="5252500"/>
    <n v="1313125"/>
    <x v="294"/>
    <n v="0.2"/>
  </r>
  <r>
    <x v="2"/>
    <x v="5"/>
    <x v="5"/>
    <s v="None"/>
    <n v="318"/>
    <n v="9000"/>
    <n v="11250"/>
    <n v="3577500"/>
    <n v="2862000"/>
    <n v="715500"/>
    <x v="294"/>
    <n v="0.2"/>
  </r>
  <r>
    <x v="2"/>
    <x v="2"/>
    <x v="4"/>
    <s v="None"/>
    <n v="657"/>
    <n v="16100"/>
    <n v="20125"/>
    <n v="13222125"/>
    <n v="10577700"/>
    <n v="2644425"/>
    <x v="93"/>
    <n v="0.2"/>
  </r>
  <r>
    <x v="2"/>
    <x v="9"/>
    <x v="9"/>
    <s v="None"/>
    <n v="337"/>
    <n v="17100"/>
    <n v="21375"/>
    <n v="7203375"/>
    <n v="5762700"/>
    <n v="1440675"/>
    <x v="93"/>
    <n v="0.2"/>
  </r>
  <r>
    <x v="2"/>
    <x v="1"/>
    <x v="8"/>
    <s v="None"/>
    <n v="1543"/>
    <n v="9300"/>
    <n v="11625"/>
    <n v="17937375"/>
    <n v="14349900"/>
    <n v="3587475"/>
    <x v="295"/>
    <n v="0.2"/>
  </r>
  <r>
    <x v="2"/>
    <x v="1"/>
    <x v="2"/>
    <s v="None"/>
    <n v="1739"/>
    <n v="3200"/>
    <n v="4000"/>
    <n v="6956000"/>
    <n v="5564800"/>
    <n v="1391200"/>
    <x v="225"/>
    <n v="0.2"/>
  </r>
  <r>
    <x v="2"/>
    <x v="8"/>
    <x v="7"/>
    <s v="None"/>
    <n v="495"/>
    <n v="3700"/>
    <n v="4625"/>
    <n v="2289375"/>
    <n v="1831500"/>
    <n v="457875"/>
    <x v="225"/>
    <n v="0.2"/>
  </r>
  <r>
    <x v="2"/>
    <x v="9"/>
    <x v="7"/>
    <s v="None"/>
    <n v="1832"/>
    <n v="18600"/>
    <n v="23250"/>
    <n v="42594000"/>
    <n v="34075200"/>
    <n v="8518800"/>
    <x v="95"/>
    <n v="0.2"/>
  </r>
  <r>
    <x v="2"/>
    <x v="5"/>
    <x v="9"/>
    <s v="None"/>
    <n v="2414"/>
    <n v="22400"/>
    <n v="28000"/>
    <n v="67592000"/>
    <n v="54073600"/>
    <n v="13518400"/>
    <x v="96"/>
    <n v="0.2"/>
  </r>
  <r>
    <x v="2"/>
    <x v="8"/>
    <x v="1"/>
    <s v="None"/>
    <n v="2675"/>
    <n v="20400"/>
    <n v="25500"/>
    <n v="68212500"/>
    <n v="54570000"/>
    <n v="13642500"/>
    <x v="97"/>
    <n v="0.2"/>
  </r>
  <r>
    <x v="2"/>
    <x v="7"/>
    <x v="5"/>
    <s v="None"/>
    <n v="2988"/>
    <n v="13500"/>
    <n v="16875"/>
    <n v="50422500"/>
    <n v="40338000"/>
    <n v="10084500"/>
    <x v="97"/>
    <n v="0.2"/>
  </r>
  <r>
    <x v="2"/>
    <x v="9"/>
    <x v="5"/>
    <s v="None"/>
    <n v="1021"/>
    <n v="9200"/>
    <n v="11500"/>
    <n v="11741500"/>
    <n v="9393200"/>
    <n v="2348300"/>
    <x v="102"/>
    <n v="0.2"/>
  </r>
  <r>
    <x v="2"/>
    <x v="1"/>
    <x v="5"/>
    <s v="None"/>
    <n v="461"/>
    <n v="17600"/>
    <n v="22000"/>
    <n v="10142000"/>
    <n v="8113600"/>
    <n v="2028400"/>
    <x v="226"/>
    <n v="0.2"/>
  </r>
  <r>
    <x v="2"/>
    <x v="4"/>
    <x v="4"/>
    <s v="None"/>
    <n v="2085"/>
    <n v="7700"/>
    <n v="9625"/>
    <n v="20068125"/>
    <n v="16054500"/>
    <n v="4013625"/>
    <x v="226"/>
    <n v="0.2"/>
  </r>
  <r>
    <x v="2"/>
    <x v="2"/>
    <x v="2"/>
    <s v="None"/>
    <n v="169"/>
    <n v="16700"/>
    <n v="20875"/>
    <n v="3527875"/>
    <n v="2822300"/>
    <n v="705575"/>
    <x v="296"/>
    <n v="0.2"/>
  </r>
  <r>
    <x v="2"/>
    <x v="7"/>
    <x v="4"/>
    <s v="None"/>
    <n v="968"/>
    <n v="17400"/>
    <n v="21750"/>
    <n v="21054000"/>
    <n v="16843200"/>
    <n v="4210800"/>
    <x v="227"/>
    <n v="0.2"/>
  </r>
  <r>
    <x v="2"/>
    <x v="6"/>
    <x v="1"/>
    <s v="None"/>
    <n v="1407"/>
    <n v="11200"/>
    <n v="14000"/>
    <n v="19698000"/>
    <n v="15758400"/>
    <n v="3939600"/>
    <x v="104"/>
    <n v="0.2"/>
  </r>
  <r>
    <x v="2"/>
    <x v="9"/>
    <x v="2"/>
    <s v="None"/>
    <n v="2734"/>
    <n v="9400"/>
    <n v="11750"/>
    <n v="32124500"/>
    <n v="25699600"/>
    <n v="6424900"/>
    <x v="228"/>
    <n v="0.2"/>
  </r>
  <r>
    <x v="2"/>
    <x v="2"/>
    <x v="1"/>
    <s v="None"/>
    <n v="2575"/>
    <n v="24500"/>
    <n v="30625"/>
    <n v="78859375"/>
    <n v="63087500"/>
    <n v="15771875"/>
    <x v="229"/>
    <n v="0.2"/>
  </r>
  <r>
    <x v="2"/>
    <x v="8"/>
    <x v="4"/>
    <s v="None"/>
    <n v="2398"/>
    <n v="1800"/>
    <n v="2250"/>
    <n v="5395500"/>
    <n v="4316400"/>
    <n v="1079100"/>
    <x v="106"/>
    <n v="0.2"/>
  </r>
  <r>
    <x v="2"/>
    <x v="5"/>
    <x v="3"/>
    <s v="None"/>
    <n v="1267"/>
    <n v="1900"/>
    <n v="2375"/>
    <n v="3009125"/>
    <n v="2407300"/>
    <n v="601825"/>
    <x v="107"/>
    <n v="0.2"/>
  </r>
  <r>
    <x v="2"/>
    <x v="8"/>
    <x v="6"/>
    <s v="None"/>
    <n v="354"/>
    <n v="3900"/>
    <n v="4875"/>
    <n v="1725750"/>
    <n v="1380600"/>
    <n v="345150"/>
    <x v="230"/>
    <n v="0.2"/>
  </r>
  <r>
    <x v="2"/>
    <x v="2"/>
    <x v="6"/>
    <s v="None"/>
    <n v="2861"/>
    <n v="12600"/>
    <n v="15750"/>
    <n v="45060750"/>
    <n v="36048600"/>
    <n v="9012150"/>
    <x v="230"/>
    <n v="0.2"/>
  </r>
  <r>
    <x v="2"/>
    <x v="9"/>
    <x v="0"/>
    <s v="None"/>
    <n v="1702"/>
    <n v="6600"/>
    <n v="8250"/>
    <n v="14041500"/>
    <n v="11233200"/>
    <n v="2808300"/>
    <x v="230"/>
    <n v="0.2"/>
  </r>
  <r>
    <x v="2"/>
    <x v="3"/>
    <x v="0"/>
    <s v="None"/>
    <n v="1783"/>
    <n v="14300"/>
    <n v="17875"/>
    <n v="31871125"/>
    <n v="25496900"/>
    <n v="6374225"/>
    <x v="230"/>
    <n v="0.2"/>
  </r>
  <r>
    <x v="2"/>
    <x v="8"/>
    <x v="8"/>
    <s v="None"/>
    <n v="1066"/>
    <n v="7200"/>
    <n v="9000"/>
    <n v="9594000"/>
    <n v="7675200"/>
    <n v="1918800"/>
    <x v="232"/>
    <n v="0.2"/>
  </r>
  <r>
    <x v="2"/>
    <x v="0"/>
    <x v="0"/>
    <s v="None"/>
    <n v="744"/>
    <n v="11300"/>
    <n v="14125"/>
    <n v="10509000"/>
    <n v="8407200"/>
    <n v="2101800"/>
    <x v="110"/>
    <n v="0.2"/>
  </r>
  <r>
    <x v="2"/>
    <x v="3"/>
    <x v="9"/>
    <s v="None"/>
    <n v="1719"/>
    <n v="7200"/>
    <n v="9000"/>
    <n v="15471000"/>
    <n v="12376800"/>
    <n v="3094200"/>
    <x v="113"/>
    <n v="0.2"/>
  </r>
  <r>
    <x v="2"/>
    <x v="9"/>
    <x v="0"/>
    <s v="None"/>
    <n v="1755"/>
    <n v="18200"/>
    <n v="22750"/>
    <n v="39926250"/>
    <n v="31941000"/>
    <n v="7985250"/>
    <x v="233"/>
    <n v="0.2"/>
  </r>
  <r>
    <x v="2"/>
    <x v="5"/>
    <x v="8"/>
    <s v="None"/>
    <n v="2593"/>
    <n v="10700"/>
    <n v="13375"/>
    <n v="34681375"/>
    <n v="27745100"/>
    <n v="6936275"/>
    <x v="233"/>
    <n v="0.2"/>
  </r>
  <r>
    <x v="2"/>
    <x v="8"/>
    <x v="3"/>
    <s v="None"/>
    <n v="2322"/>
    <n v="14900"/>
    <n v="18625"/>
    <n v="43247250"/>
    <n v="34597800"/>
    <n v="8649450"/>
    <x v="233"/>
    <n v="0.2"/>
  </r>
  <r>
    <x v="2"/>
    <x v="1"/>
    <x v="2"/>
    <s v="None"/>
    <n v="350"/>
    <n v="23100"/>
    <n v="28875"/>
    <n v="10106250"/>
    <n v="8085000"/>
    <n v="2021250"/>
    <x v="117"/>
    <n v="0.2"/>
  </r>
  <r>
    <x v="2"/>
    <x v="5"/>
    <x v="0"/>
    <s v="None"/>
    <n v="849"/>
    <n v="3300"/>
    <n v="4125"/>
    <n v="3502125"/>
    <n v="2801700"/>
    <n v="700425"/>
    <x v="234"/>
    <n v="0.2"/>
  </r>
  <r>
    <x v="2"/>
    <x v="1"/>
    <x v="3"/>
    <s v="None"/>
    <n v="2091"/>
    <n v="23300"/>
    <n v="29125"/>
    <n v="60900375"/>
    <n v="48720300"/>
    <n v="12180075"/>
    <x v="297"/>
    <n v="0.2"/>
  </r>
  <r>
    <x v="2"/>
    <x v="4"/>
    <x v="0"/>
    <s v="None"/>
    <n v="1284"/>
    <n v="24600"/>
    <n v="30750"/>
    <n v="39483000"/>
    <n v="31586400"/>
    <n v="7896600"/>
    <x v="119"/>
    <n v="0.2"/>
  </r>
  <r>
    <x v="2"/>
    <x v="3"/>
    <x v="2"/>
    <s v="None"/>
    <n v="2707"/>
    <n v="18300"/>
    <n v="22875"/>
    <n v="61922625"/>
    <n v="49538100"/>
    <n v="12384525"/>
    <x v="120"/>
    <n v="0.2"/>
  </r>
  <r>
    <x v="2"/>
    <x v="4"/>
    <x v="0"/>
    <s v="None"/>
    <n v="1550"/>
    <n v="9100"/>
    <n v="11375"/>
    <n v="17631250"/>
    <n v="14105000"/>
    <n v="3526250"/>
    <x v="298"/>
    <n v="0.2"/>
  </r>
  <r>
    <x v="2"/>
    <x v="6"/>
    <x v="3"/>
    <s v="None"/>
    <n v="1911"/>
    <n v="6500"/>
    <n v="8125"/>
    <n v="15526875"/>
    <n v="12421500"/>
    <n v="3105375"/>
    <x v="236"/>
    <n v="0.2"/>
  </r>
  <r>
    <x v="2"/>
    <x v="8"/>
    <x v="2"/>
    <s v="None"/>
    <n v="1187"/>
    <n v="7200"/>
    <n v="9000"/>
    <n v="10683000"/>
    <n v="8546400"/>
    <n v="2136600"/>
    <x v="236"/>
    <n v="0.2"/>
  </r>
  <r>
    <x v="2"/>
    <x v="7"/>
    <x v="1"/>
    <s v="None"/>
    <n v="557"/>
    <n v="15100"/>
    <n v="18875"/>
    <n v="10513375"/>
    <n v="8410700"/>
    <n v="2102675"/>
    <x v="123"/>
    <n v="0.2"/>
  </r>
  <r>
    <x v="2"/>
    <x v="2"/>
    <x v="3"/>
    <s v="None"/>
    <n v="268"/>
    <n v="4200"/>
    <n v="5250"/>
    <n v="1407000"/>
    <n v="1125600"/>
    <n v="281400"/>
    <x v="124"/>
    <n v="0.2"/>
  </r>
  <r>
    <x v="2"/>
    <x v="9"/>
    <x v="6"/>
    <s v="None"/>
    <n v="2787"/>
    <n v="3500"/>
    <n v="4375"/>
    <n v="12193125"/>
    <n v="9754500"/>
    <n v="2438625"/>
    <x v="237"/>
    <n v="0.2"/>
  </r>
  <r>
    <x v="2"/>
    <x v="6"/>
    <x v="5"/>
    <s v="None"/>
    <n v="2765"/>
    <n v="8100"/>
    <n v="10125"/>
    <n v="27995625"/>
    <n v="22396500"/>
    <n v="5599125"/>
    <x v="299"/>
    <n v="0.2"/>
  </r>
  <r>
    <x v="2"/>
    <x v="1"/>
    <x v="8"/>
    <s v="None"/>
    <n v="1297"/>
    <n v="10100"/>
    <n v="12625"/>
    <n v="16374625"/>
    <n v="13099700"/>
    <n v="3274925"/>
    <x v="299"/>
    <n v="0.2"/>
  </r>
  <r>
    <x v="2"/>
    <x v="2"/>
    <x v="7"/>
    <s v="None"/>
    <n v="812"/>
    <n v="22600"/>
    <n v="28250"/>
    <n v="22939000"/>
    <n v="18351200"/>
    <n v="4587800"/>
    <x v="238"/>
    <n v="0.2"/>
  </r>
  <r>
    <x v="2"/>
    <x v="7"/>
    <x v="2"/>
    <s v="None"/>
    <n v="1633"/>
    <n v="22400"/>
    <n v="28000"/>
    <n v="45724000"/>
    <n v="36579200"/>
    <n v="9144800"/>
    <x v="300"/>
    <n v="0.2"/>
  </r>
  <r>
    <x v="2"/>
    <x v="1"/>
    <x v="6"/>
    <s v="None"/>
    <n v="2919"/>
    <n v="14100"/>
    <n v="17625"/>
    <n v="51447375"/>
    <n v="41157900"/>
    <n v="10289475"/>
    <x v="301"/>
    <n v="0.2"/>
  </r>
  <r>
    <x v="2"/>
    <x v="6"/>
    <x v="6"/>
    <s v="None"/>
    <n v="374"/>
    <n v="10000"/>
    <n v="12500"/>
    <n v="4675000"/>
    <n v="3740000"/>
    <n v="935000"/>
    <x v="301"/>
    <n v="0.2"/>
  </r>
  <r>
    <x v="2"/>
    <x v="1"/>
    <x v="6"/>
    <s v="None"/>
    <n v="2913"/>
    <n v="13500"/>
    <n v="16875"/>
    <n v="49156875"/>
    <n v="39325500"/>
    <n v="9831375"/>
    <x v="302"/>
    <n v="0.2"/>
  </r>
  <r>
    <x v="2"/>
    <x v="1"/>
    <x v="5"/>
    <s v="None"/>
    <n v="1663"/>
    <n v="1700"/>
    <n v="2125"/>
    <n v="3533875"/>
    <n v="2827100"/>
    <n v="706775"/>
    <x v="239"/>
    <n v="0.2"/>
  </r>
  <r>
    <x v="2"/>
    <x v="1"/>
    <x v="7"/>
    <s v="None"/>
    <n v="1275"/>
    <n v="17000"/>
    <n v="21250"/>
    <n v="27093750"/>
    <n v="21675000"/>
    <n v="5418750"/>
    <x v="130"/>
    <n v="0.2"/>
  </r>
  <r>
    <x v="2"/>
    <x v="1"/>
    <x v="9"/>
    <s v="None"/>
    <n v="265"/>
    <n v="15900"/>
    <n v="19875"/>
    <n v="5266875"/>
    <n v="4213500"/>
    <n v="1053375"/>
    <x v="240"/>
    <n v="0.2"/>
  </r>
  <r>
    <x v="2"/>
    <x v="8"/>
    <x v="9"/>
    <s v="None"/>
    <n v="2602"/>
    <n v="4000"/>
    <n v="5000"/>
    <n v="13010000"/>
    <n v="10408000"/>
    <n v="2602000"/>
    <x v="131"/>
    <n v="0.2"/>
  </r>
  <r>
    <x v="2"/>
    <x v="3"/>
    <x v="4"/>
    <s v="None"/>
    <n v="1942"/>
    <n v="17200"/>
    <n v="21500"/>
    <n v="41753000"/>
    <n v="33402400"/>
    <n v="8350600"/>
    <x v="132"/>
    <n v="0.2"/>
  </r>
  <r>
    <x v="2"/>
    <x v="9"/>
    <x v="0"/>
    <s v="None"/>
    <n v="1498"/>
    <n v="9900"/>
    <n v="12375"/>
    <n v="18537750"/>
    <n v="14830200"/>
    <n v="3707550"/>
    <x v="303"/>
    <n v="0.2"/>
  </r>
  <r>
    <x v="2"/>
    <x v="5"/>
    <x v="4"/>
    <s v="None"/>
    <n v="2548"/>
    <n v="12600"/>
    <n v="15750"/>
    <n v="40131000"/>
    <n v="32104800"/>
    <n v="8026200"/>
    <x v="136"/>
    <n v="0.2"/>
  </r>
  <r>
    <x v="2"/>
    <x v="9"/>
    <x v="1"/>
    <s v="None"/>
    <n v="1618"/>
    <n v="3100"/>
    <n v="3875"/>
    <n v="6269750"/>
    <n v="5015800"/>
    <n v="1253950"/>
    <x v="137"/>
    <n v="0.2"/>
  </r>
  <r>
    <x v="2"/>
    <x v="3"/>
    <x v="1"/>
    <s v="None"/>
    <n v="1771"/>
    <n v="18600"/>
    <n v="23250"/>
    <n v="41175750"/>
    <n v="32940600"/>
    <n v="8235150"/>
    <x v="242"/>
    <n v="0.2"/>
  </r>
  <r>
    <x v="2"/>
    <x v="5"/>
    <x v="9"/>
    <s v="None"/>
    <n v="619"/>
    <n v="7600"/>
    <n v="9500"/>
    <n v="5880500"/>
    <n v="4704400"/>
    <n v="1176100"/>
    <x v="304"/>
    <n v="0.2"/>
  </r>
  <r>
    <x v="2"/>
    <x v="4"/>
    <x v="9"/>
    <s v="None"/>
    <n v="1186"/>
    <n v="10500"/>
    <n v="13125"/>
    <n v="15566250"/>
    <n v="12453000"/>
    <n v="3113250"/>
    <x v="305"/>
    <n v="0.2"/>
  </r>
  <r>
    <x v="2"/>
    <x v="4"/>
    <x v="1"/>
    <s v="None"/>
    <n v="2161"/>
    <n v="4000"/>
    <n v="5000"/>
    <n v="10805000"/>
    <n v="8644000"/>
    <n v="2161000"/>
    <x v="305"/>
    <n v="0.2"/>
  </r>
  <r>
    <x v="2"/>
    <x v="3"/>
    <x v="5"/>
    <s v="None"/>
    <n v="1331"/>
    <n v="4200"/>
    <n v="5250"/>
    <n v="6987750"/>
    <n v="5590200"/>
    <n v="1397550"/>
    <x v="244"/>
    <n v="0.2"/>
  </r>
  <r>
    <x v="2"/>
    <x v="1"/>
    <x v="4"/>
    <s v="None"/>
    <n v="259"/>
    <n v="24100"/>
    <n v="30125"/>
    <n v="7802375"/>
    <n v="6241900"/>
    <n v="1560475"/>
    <x v="140"/>
    <n v="0.2"/>
  </r>
  <r>
    <x v="2"/>
    <x v="9"/>
    <x v="9"/>
    <s v="None"/>
    <n v="1163"/>
    <n v="24500"/>
    <n v="30625"/>
    <n v="35616875"/>
    <n v="28493500"/>
    <n v="7123375"/>
    <x v="245"/>
    <n v="0.2"/>
  </r>
  <r>
    <x v="2"/>
    <x v="6"/>
    <x v="1"/>
    <s v="None"/>
    <n v="1322"/>
    <n v="12300"/>
    <n v="15375"/>
    <n v="20325750"/>
    <n v="16260600"/>
    <n v="4065150"/>
    <x v="141"/>
    <n v="0.2"/>
  </r>
  <r>
    <x v="2"/>
    <x v="8"/>
    <x v="0"/>
    <s v="None"/>
    <n v="435"/>
    <n v="8000"/>
    <n v="10000"/>
    <n v="4350000"/>
    <n v="3480000"/>
    <n v="870000"/>
    <x v="249"/>
    <n v="0.2"/>
  </r>
  <r>
    <x v="2"/>
    <x v="5"/>
    <x v="1"/>
    <s v="None"/>
    <n v="1089"/>
    <n v="23700"/>
    <n v="29625"/>
    <n v="32261625"/>
    <n v="25809300"/>
    <n v="6452325"/>
    <x v="250"/>
    <n v="0.2"/>
  </r>
  <r>
    <x v="2"/>
    <x v="7"/>
    <x v="7"/>
    <s v="None"/>
    <n v="2162"/>
    <n v="3600"/>
    <n v="4500"/>
    <n v="9729000"/>
    <n v="7783200"/>
    <n v="1945800"/>
    <x v="144"/>
    <n v="0.2"/>
  </r>
  <r>
    <x v="2"/>
    <x v="7"/>
    <x v="0"/>
    <s v="None"/>
    <n v="2656"/>
    <n v="24100"/>
    <n v="30125"/>
    <n v="80012000"/>
    <n v="64009600"/>
    <n v="16002400"/>
    <x v="145"/>
    <n v="0.2"/>
  </r>
  <r>
    <x v="2"/>
    <x v="6"/>
    <x v="0"/>
    <s v="None"/>
    <n v="917"/>
    <n v="6500"/>
    <n v="8125"/>
    <n v="7450625"/>
    <n v="5960500"/>
    <n v="1490125"/>
    <x v="251"/>
    <n v="0.2"/>
  </r>
  <r>
    <x v="2"/>
    <x v="8"/>
    <x v="6"/>
    <s v="None"/>
    <n v="629"/>
    <n v="9800"/>
    <n v="12250"/>
    <n v="7705250"/>
    <n v="6164200"/>
    <n v="1541050"/>
    <x v="252"/>
    <n v="0.2"/>
  </r>
  <r>
    <x v="2"/>
    <x v="1"/>
    <x v="1"/>
    <s v="None"/>
    <n v="1034"/>
    <n v="12500"/>
    <n v="15625"/>
    <n v="16156250"/>
    <n v="12925000"/>
    <n v="3231250"/>
    <x v="306"/>
    <n v="0.2"/>
  </r>
  <r>
    <x v="2"/>
    <x v="9"/>
    <x v="6"/>
    <s v="None"/>
    <n v="765"/>
    <n v="7100"/>
    <n v="8875"/>
    <n v="6789375"/>
    <n v="5431500"/>
    <n v="1357875"/>
    <x v="255"/>
    <n v="0.2"/>
  </r>
  <r>
    <x v="2"/>
    <x v="0"/>
    <x v="1"/>
    <s v="None"/>
    <n v="925"/>
    <n v="22800"/>
    <n v="28500"/>
    <n v="26362500"/>
    <n v="21090000"/>
    <n v="5272500"/>
    <x v="256"/>
    <n v="0.2"/>
  </r>
  <r>
    <x v="2"/>
    <x v="7"/>
    <x v="7"/>
    <s v="None"/>
    <n v="2949"/>
    <n v="6700"/>
    <n v="8375"/>
    <n v="24697875"/>
    <n v="19758300"/>
    <n v="4939575"/>
    <x v="256"/>
    <n v="0.2"/>
  </r>
  <r>
    <x v="2"/>
    <x v="3"/>
    <x v="4"/>
    <s v="None"/>
    <n v="2341"/>
    <n v="22900"/>
    <n v="28625"/>
    <n v="67011125"/>
    <n v="53608900"/>
    <n v="13402225"/>
    <x v="147"/>
    <n v="0.2"/>
  </r>
  <r>
    <x v="2"/>
    <x v="4"/>
    <x v="4"/>
    <s v="None"/>
    <n v="202"/>
    <n v="6500"/>
    <n v="8125"/>
    <n v="1641250"/>
    <n v="1313000"/>
    <n v="328250"/>
    <x v="147"/>
    <n v="0.2"/>
  </r>
  <r>
    <x v="2"/>
    <x v="0"/>
    <x v="3"/>
    <s v="None"/>
    <n v="785"/>
    <n v="7500"/>
    <n v="9375"/>
    <n v="7359375"/>
    <n v="5887500"/>
    <n v="1471875"/>
    <x v="147"/>
    <n v="0.2"/>
  </r>
  <r>
    <x v="2"/>
    <x v="9"/>
    <x v="1"/>
    <s v="None"/>
    <n v="1214"/>
    <n v="13900"/>
    <n v="17375"/>
    <n v="21093250"/>
    <n v="16874600"/>
    <n v="4218650"/>
    <x v="147"/>
    <n v="0.2"/>
  </r>
  <r>
    <x v="2"/>
    <x v="3"/>
    <x v="0"/>
    <s v="None"/>
    <n v="1396"/>
    <n v="11900"/>
    <n v="14875"/>
    <n v="20765500"/>
    <n v="16612400"/>
    <n v="4153100"/>
    <x v="307"/>
    <n v="0.2"/>
  </r>
  <r>
    <x v="2"/>
    <x v="9"/>
    <x v="9"/>
    <s v="None"/>
    <n v="1159"/>
    <n v="15400"/>
    <n v="19250"/>
    <n v="22310750"/>
    <n v="17848600"/>
    <n v="4462150"/>
    <x v="307"/>
    <n v="0.2"/>
  </r>
  <r>
    <x v="2"/>
    <x v="2"/>
    <x v="0"/>
    <s v="None"/>
    <n v="2629"/>
    <n v="8700"/>
    <n v="10875"/>
    <n v="28590375"/>
    <n v="22872300"/>
    <n v="5718075"/>
    <x v="149"/>
    <n v="0.2"/>
  </r>
  <r>
    <x v="2"/>
    <x v="5"/>
    <x v="0"/>
    <s v="None"/>
    <n v="1896"/>
    <n v="9900"/>
    <n v="12375"/>
    <n v="23463000"/>
    <n v="18770400"/>
    <n v="4692600"/>
    <x v="308"/>
    <n v="0.2"/>
  </r>
  <r>
    <x v="2"/>
    <x v="5"/>
    <x v="8"/>
    <s v="None"/>
    <n v="1006"/>
    <n v="11200"/>
    <n v="14000"/>
    <n v="14084000"/>
    <n v="11267200"/>
    <n v="2816800"/>
    <x v="154"/>
    <n v="0.2"/>
  </r>
  <r>
    <x v="2"/>
    <x v="2"/>
    <x v="9"/>
    <s v="None"/>
    <n v="524"/>
    <n v="3200"/>
    <n v="4000"/>
    <n v="2096000"/>
    <n v="1676800"/>
    <n v="419200"/>
    <x v="309"/>
    <n v="0.2"/>
  </r>
  <r>
    <x v="2"/>
    <x v="8"/>
    <x v="1"/>
    <s v="None"/>
    <n v="972"/>
    <n v="15100"/>
    <n v="18875"/>
    <n v="18346500"/>
    <n v="14677200"/>
    <n v="3669300"/>
    <x v="156"/>
    <n v="0.2"/>
  </r>
  <r>
    <x v="2"/>
    <x v="4"/>
    <x v="9"/>
    <s v="None"/>
    <n v="360"/>
    <n v="16100"/>
    <n v="20125"/>
    <n v="7245000"/>
    <n v="5796000"/>
    <n v="1449000"/>
    <x v="156"/>
    <n v="0.2"/>
  </r>
  <r>
    <x v="2"/>
    <x v="2"/>
    <x v="8"/>
    <s v="None"/>
    <n v="2464"/>
    <n v="21300"/>
    <n v="26625"/>
    <n v="65604000"/>
    <n v="52483200"/>
    <n v="13120800"/>
    <x v="156"/>
    <n v="0.2"/>
  </r>
  <r>
    <x v="2"/>
    <x v="0"/>
    <x v="4"/>
    <s v="None"/>
    <n v="2509"/>
    <n v="23700"/>
    <n v="29625"/>
    <n v="74329125"/>
    <n v="59463300"/>
    <n v="14865825"/>
    <x v="158"/>
    <n v="0.2"/>
  </r>
  <r>
    <x v="2"/>
    <x v="8"/>
    <x v="5"/>
    <s v="None"/>
    <n v="512"/>
    <n v="8900"/>
    <n v="11125"/>
    <n v="5696000"/>
    <n v="4556800"/>
    <n v="1139200"/>
    <x v="159"/>
    <n v="0.2"/>
  </r>
  <r>
    <x v="2"/>
    <x v="4"/>
    <x v="4"/>
    <s v="None"/>
    <n v="2354"/>
    <n v="23800"/>
    <n v="29750"/>
    <n v="70031500"/>
    <n v="56025200"/>
    <n v="14006300"/>
    <x v="159"/>
    <n v="0.2"/>
  </r>
  <r>
    <x v="2"/>
    <x v="4"/>
    <x v="0"/>
    <s v="None"/>
    <n v="2909"/>
    <n v="17700"/>
    <n v="22125"/>
    <n v="64361625"/>
    <n v="51489300"/>
    <n v="12872325"/>
    <x v="258"/>
    <n v="0.2"/>
  </r>
  <r>
    <x v="2"/>
    <x v="9"/>
    <x v="6"/>
    <s v="None"/>
    <n v="2507"/>
    <n v="21400"/>
    <n v="26750"/>
    <n v="67062250"/>
    <n v="53649800"/>
    <n v="13412450"/>
    <x v="160"/>
    <n v="0.2"/>
  </r>
  <r>
    <x v="2"/>
    <x v="8"/>
    <x v="8"/>
    <s v="None"/>
    <n v="183"/>
    <n v="23800"/>
    <n v="29750"/>
    <n v="5444250"/>
    <n v="4355400"/>
    <n v="1088850"/>
    <x v="162"/>
    <n v="0.2"/>
  </r>
  <r>
    <x v="2"/>
    <x v="3"/>
    <x v="1"/>
    <s v="None"/>
    <n v="2300"/>
    <n v="6100"/>
    <n v="7625"/>
    <n v="17537500"/>
    <n v="14030000"/>
    <n v="3507500"/>
    <x v="310"/>
    <n v="0.2"/>
  </r>
  <r>
    <x v="2"/>
    <x v="5"/>
    <x v="4"/>
    <s v="None"/>
    <n v="1332"/>
    <n v="22700"/>
    <n v="28375"/>
    <n v="37795500"/>
    <n v="30236400"/>
    <n v="7559100"/>
    <x v="163"/>
    <n v="0.2"/>
  </r>
  <r>
    <x v="2"/>
    <x v="7"/>
    <x v="6"/>
    <s v="None"/>
    <n v="1107"/>
    <n v="3800"/>
    <n v="4750"/>
    <n v="5258250"/>
    <n v="4206600"/>
    <n v="1051650"/>
    <x v="311"/>
    <n v="0.2"/>
  </r>
  <r>
    <x v="2"/>
    <x v="1"/>
    <x v="0"/>
    <s v="None"/>
    <n v="2723"/>
    <n v="20700"/>
    <n v="25875"/>
    <n v="70457625"/>
    <n v="56366100"/>
    <n v="14091525"/>
    <x v="311"/>
    <n v="0.2"/>
  </r>
  <r>
    <x v="2"/>
    <x v="3"/>
    <x v="3"/>
    <s v="None"/>
    <n v="2836"/>
    <n v="12800"/>
    <n v="16000"/>
    <n v="45376000"/>
    <n v="36300800"/>
    <n v="9075200"/>
    <x v="312"/>
    <n v="0.2"/>
  </r>
  <r>
    <x v="2"/>
    <x v="6"/>
    <x v="8"/>
    <s v="None"/>
    <n v="2757"/>
    <n v="21900"/>
    <n v="27375"/>
    <n v="75472875"/>
    <n v="60378300"/>
    <n v="15094575"/>
    <x v="312"/>
    <n v="0.2"/>
  </r>
  <r>
    <x v="2"/>
    <x v="8"/>
    <x v="3"/>
    <s v="None"/>
    <n v="486"/>
    <n v="2100"/>
    <n v="2625"/>
    <n v="1275750"/>
    <n v="1020600"/>
    <n v="255150"/>
    <x v="313"/>
    <n v="0.2"/>
  </r>
  <r>
    <x v="2"/>
    <x v="5"/>
    <x v="3"/>
    <s v="None"/>
    <n v="1990"/>
    <n v="13400"/>
    <n v="16750"/>
    <n v="33332500"/>
    <n v="26666000"/>
    <n v="6666500"/>
    <x v="166"/>
    <n v="0.2"/>
  </r>
  <r>
    <x v="2"/>
    <x v="5"/>
    <x v="3"/>
    <s v="None"/>
    <n v="2300"/>
    <n v="16600"/>
    <n v="20750"/>
    <n v="47725000"/>
    <n v="38180000"/>
    <n v="9545000"/>
    <x v="167"/>
    <n v="0.2"/>
  </r>
  <r>
    <x v="2"/>
    <x v="1"/>
    <x v="6"/>
    <s v="None"/>
    <n v="839"/>
    <n v="5400"/>
    <n v="6750"/>
    <n v="5663250"/>
    <n v="4530600"/>
    <n v="1132650"/>
    <x v="170"/>
    <n v="0.2"/>
  </r>
  <r>
    <x v="2"/>
    <x v="8"/>
    <x v="6"/>
    <s v="None"/>
    <n v="2097"/>
    <n v="8300"/>
    <n v="10375"/>
    <n v="21756375"/>
    <n v="17405100"/>
    <n v="4351275"/>
    <x v="171"/>
    <n v="0.2"/>
  </r>
  <r>
    <x v="2"/>
    <x v="9"/>
    <x v="7"/>
    <s v="None"/>
    <n v="2908"/>
    <n v="23400"/>
    <n v="29250"/>
    <n v="85059000"/>
    <n v="68047200"/>
    <n v="17011800"/>
    <x v="174"/>
    <n v="0.2"/>
  </r>
  <r>
    <x v="2"/>
    <x v="3"/>
    <x v="2"/>
    <s v="None"/>
    <n v="2424"/>
    <n v="21900"/>
    <n v="27375"/>
    <n v="66357000"/>
    <n v="53085600"/>
    <n v="13271400"/>
    <x v="262"/>
    <n v="0.2"/>
  </r>
  <r>
    <x v="2"/>
    <x v="0"/>
    <x v="6"/>
    <s v="None"/>
    <n v="1780"/>
    <n v="17900"/>
    <n v="22375"/>
    <n v="39827500"/>
    <n v="31862000"/>
    <n v="7965500"/>
    <x v="178"/>
    <n v="0.2"/>
  </r>
  <r>
    <x v="2"/>
    <x v="5"/>
    <x v="2"/>
    <s v="None"/>
    <n v="696"/>
    <n v="20100"/>
    <n v="25125"/>
    <n v="17487000"/>
    <n v="13989600"/>
    <n v="3497400"/>
    <x v="178"/>
    <n v="0.2"/>
  </r>
  <r>
    <x v="3"/>
    <x v="7"/>
    <x v="9"/>
    <s v="None"/>
    <n v="2736"/>
    <n v="22500"/>
    <n v="28125"/>
    <n v="76950000"/>
    <n v="61560000"/>
    <n v="15390000"/>
    <x v="0"/>
    <n v="0.2"/>
  </r>
  <r>
    <x v="3"/>
    <x v="5"/>
    <x v="2"/>
    <s v="None"/>
    <n v="2810"/>
    <n v="14700"/>
    <n v="18375"/>
    <n v="51633750"/>
    <n v="41307000"/>
    <n v="10326750"/>
    <x v="0"/>
    <n v="0.2"/>
  </r>
  <r>
    <x v="3"/>
    <x v="8"/>
    <x v="2"/>
    <s v="None"/>
    <n v="847"/>
    <n v="22700"/>
    <n v="28375"/>
    <n v="24033625"/>
    <n v="19226900"/>
    <n v="4806725"/>
    <x v="0"/>
    <n v="0.2"/>
  </r>
  <r>
    <x v="3"/>
    <x v="0"/>
    <x v="0"/>
    <s v="None"/>
    <n v="1181"/>
    <n v="12300"/>
    <n v="15375"/>
    <n v="18157875"/>
    <n v="14526300"/>
    <n v="3631575"/>
    <x v="179"/>
    <n v="0.2"/>
  </r>
  <r>
    <x v="3"/>
    <x v="2"/>
    <x v="9"/>
    <s v="None"/>
    <n v="587"/>
    <n v="2600"/>
    <n v="3250"/>
    <n v="1907750"/>
    <n v="1526200"/>
    <n v="381550"/>
    <x v="180"/>
    <n v="0.2"/>
  </r>
  <r>
    <x v="3"/>
    <x v="7"/>
    <x v="5"/>
    <s v="None"/>
    <n v="2902"/>
    <n v="3900"/>
    <n v="4875"/>
    <n v="14147250"/>
    <n v="11317800"/>
    <n v="2829450"/>
    <x v="314"/>
    <n v="0.2"/>
  </r>
  <r>
    <x v="3"/>
    <x v="4"/>
    <x v="3"/>
    <s v="None"/>
    <n v="462"/>
    <n v="24700"/>
    <n v="30875"/>
    <n v="14264250"/>
    <n v="11411400"/>
    <n v="2852850"/>
    <x v="1"/>
    <n v="0.2"/>
  </r>
  <r>
    <x v="3"/>
    <x v="1"/>
    <x v="7"/>
    <s v="None"/>
    <n v="2863"/>
    <n v="22100"/>
    <n v="27625"/>
    <n v="79090375"/>
    <n v="63272300"/>
    <n v="15818075"/>
    <x v="315"/>
    <n v="0.2"/>
  </r>
  <r>
    <x v="3"/>
    <x v="5"/>
    <x v="9"/>
    <s v="None"/>
    <n v="1456"/>
    <n v="22100"/>
    <n v="27625"/>
    <n v="40222000"/>
    <n v="32177600"/>
    <n v="8044400"/>
    <x v="315"/>
    <n v="0.2"/>
  </r>
  <r>
    <x v="3"/>
    <x v="9"/>
    <x v="9"/>
    <s v="None"/>
    <n v="1910"/>
    <n v="1500"/>
    <n v="1875"/>
    <n v="3581250"/>
    <n v="2865000"/>
    <n v="716250"/>
    <x v="316"/>
    <n v="0.2"/>
  </r>
  <r>
    <x v="3"/>
    <x v="6"/>
    <x v="8"/>
    <s v="None"/>
    <n v="281"/>
    <n v="17500"/>
    <n v="21875"/>
    <n v="6146875"/>
    <n v="4917500"/>
    <n v="1229375"/>
    <x v="181"/>
    <n v="0.2"/>
  </r>
  <r>
    <x v="3"/>
    <x v="2"/>
    <x v="1"/>
    <s v="None"/>
    <n v="1146"/>
    <n v="12400"/>
    <n v="15500"/>
    <n v="17763000"/>
    <n v="14210400"/>
    <n v="3552600"/>
    <x v="4"/>
    <n v="0.2"/>
  </r>
  <r>
    <x v="3"/>
    <x v="1"/>
    <x v="1"/>
    <s v="None"/>
    <n v="2501"/>
    <n v="6400"/>
    <n v="8000"/>
    <n v="20008000"/>
    <n v="16006400"/>
    <n v="4001600"/>
    <x v="183"/>
    <n v="0.2"/>
  </r>
  <r>
    <x v="3"/>
    <x v="7"/>
    <x v="2"/>
    <s v="None"/>
    <n v="1197"/>
    <n v="9900"/>
    <n v="12375"/>
    <n v="14812875"/>
    <n v="11850300"/>
    <n v="2962575"/>
    <x v="6"/>
    <n v="0.2"/>
  </r>
  <r>
    <x v="3"/>
    <x v="0"/>
    <x v="9"/>
    <s v="None"/>
    <n v="2952"/>
    <n v="2200"/>
    <n v="2750"/>
    <n v="8118000"/>
    <n v="6494400"/>
    <n v="1623600"/>
    <x v="6"/>
    <n v="0.2"/>
  </r>
  <r>
    <x v="3"/>
    <x v="5"/>
    <x v="6"/>
    <s v="None"/>
    <n v="861"/>
    <n v="21300"/>
    <n v="26625"/>
    <n v="22924125"/>
    <n v="18339300"/>
    <n v="4584825"/>
    <x v="6"/>
    <n v="0.2"/>
  </r>
  <r>
    <x v="3"/>
    <x v="2"/>
    <x v="7"/>
    <s v="None"/>
    <n v="542"/>
    <n v="3300"/>
    <n v="4125"/>
    <n v="2235750"/>
    <n v="1788600"/>
    <n v="447150"/>
    <x v="317"/>
    <n v="0.2"/>
  </r>
  <r>
    <x v="3"/>
    <x v="8"/>
    <x v="0"/>
    <s v="None"/>
    <n v="235"/>
    <n v="19300"/>
    <n v="24125"/>
    <n v="5669375"/>
    <n v="4535500"/>
    <n v="1133875"/>
    <x v="317"/>
    <n v="0.2"/>
  </r>
  <r>
    <x v="3"/>
    <x v="8"/>
    <x v="1"/>
    <s v="None"/>
    <n v="764"/>
    <n v="15000"/>
    <n v="18750"/>
    <n v="14325000"/>
    <n v="11460000"/>
    <n v="2865000"/>
    <x v="184"/>
    <n v="0.2"/>
  </r>
  <r>
    <x v="3"/>
    <x v="6"/>
    <x v="8"/>
    <s v="None"/>
    <n v="2944"/>
    <n v="12700"/>
    <n v="15875"/>
    <n v="46736000"/>
    <n v="37388800"/>
    <n v="9347200"/>
    <x v="8"/>
    <n v="0.2"/>
  </r>
  <r>
    <x v="3"/>
    <x v="1"/>
    <x v="2"/>
    <s v="None"/>
    <n v="1205"/>
    <n v="19500"/>
    <n v="24375"/>
    <n v="29371875"/>
    <n v="23497500"/>
    <n v="5874375"/>
    <x v="10"/>
    <n v="0.2"/>
  </r>
  <r>
    <x v="3"/>
    <x v="6"/>
    <x v="8"/>
    <s v="None"/>
    <n v="2998"/>
    <n v="23200"/>
    <n v="29000"/>
    <n v="86942000"/>
    <n v="69553600"/>
    <n v="17388400"/>
    <x v="185"/>
    <n v="0.2"/>
  </r>
  <r>
    <x v="3"/>
    <x v="1"/>
    <x v="1"/>
    <s v="None"/>
    <n v="276"/>
    <n v="3600"/>
    <n v="4500"/>
    <n v="1242000"/>
    <n v="993600"/>
    <n v="248400"/>
    <x v="12"/>
    <n v="0.2"/>
  </r>
  <r>
    <x v="3"/>
    <x v="6"/>
    <x v="5"/>
    <s v="None"/>
    <n v="1203"/>
    <n v="14100"/>
    <n v="17625"/>
    <n v="21202875"/>
    <n v="16962300"/>
    <n v="4240575"/>
    <x v="13"/>
    <n v="0.2"/>
  </r>
  <r>
    <x v="3"/>
    <x v="4"/>
    <x v="0"/>
    <s v="None"/>
    <n v="1170"/>
    <n v="8600"/>
    <n v="10750"/>
    <n v="12577500"/>
    <n v="10062000"/>
    <n v="2515500"/>
    <x v="13"/>
    <n v="0.2"/>
  </r>
  <r>
    <x v="3"/>
    <x v="8"/>
    <x v="4"/>
    <s v="None"/>
    <n v="2830"/>
    <n v="6800"/>
    <n v="8500"/>
    <n v="24055000"/>
    <n v="19244000"/>
    <n v="4811000"/>
    <x v="14"/>
    <n v="0.2"/>
  </r>
  <r>
    <x v="3"/>
    <x v="9"/>
    <x v="2"/>
    <s v="None"/>
    <n v="1155"/>
    <n v="11800"/>
    <n v="14750"/>
    <n v="17036250"/>
    <n v="13629000"/>
    <n v="3407250"/>
    <x v="15"/>
    <n v="0.2"/>
  </r>
  <r>
    <x v="3"/>
    <x v="8"/>
    <x v="4"/>
    <s v="None"/>
    <n v="315"/>
    <n v="21417"/>
    <n v="26750"/>
    <n v="8426250"/>
    <n v="6746355"/>
    <n v="1679895"/>
    <x v="15"/>
    <n v="0.1993644859813084"/>
  </r>
  <r>
    <x v="3"/>
    <x v="8"/>
    <x v="4"/>
    <s v="None"/>
    <n v="765"/>
    <n v="13000"/>
    <n v="16250"/>
    <n v="12431250"/>
    <n v="9945000"/>
    <n v="2486250"/>
    <x v="187"/>
    <n v="0.2"/>
  </r>
  <r>
    <x v="3"/>
    <x v="6"/>
    <x v="0"/>
    <s v="None"/>
    <n v="2489"/>
    <n v="1500"/>
    <n v="1875"/>
    <n v="4666875"/>
    <n v="3733500"/>
    <n v="933375"/>
    <x v="318"/>
    <n v="0.2"/>
  </r>
  <r>
    <x v="3"/>
    <x v="4"/>
    <x v="3"/>
    <s v="None"/>
    <n v="2248"/>
    <n v="13700"/>
    <n v="17125"/>
    <n v="38497000"/>
    <n v="30797600"/>
    <n v="7699400"/>
    <x v="264"/>
    <n v="0.2"/>
  </r>
  <r>
    <x v="3"/>
    <x v="1"/>
    <x v="3"/>
    <s v="None"/>
    <n v="2938"/>
    <n v="9000"/>
    <n v="11250"/>
    <n v="33052500"/>
    <n v="26442000"/>
    <n v="6610500"/>
    <x v="264"/>
    <n v="0.2"/>
  </r>
  <r>
    <x v="3"/>
    <x v="2"/>
    <x v="4"/>
    <s v="None"/>
    <n v="2951"/>
    <n v="21800"/>
    <n v="27250"/>
    <n v="80414750"/>
    <n v="64331800"/>
    <n v="16082950"/>
    <x v="16"/>
    <n v="0.2"/>
  </r>
  <r>
    <x v="3"/>
    <x v="7"/>
    <x v="9"/>
    <s v="None"/>
    <n v="2140"/>
    <n v="2200"/>
    <n v="2750"/>
    <n v="5885000"/>
    <n v="4708000"/>
    <n v="1177000"/>
    <x v="19"/>
    <n v="0.2"/>
  </r>
  <r>
    <x v="3"/>
    <x v="9"/>
    <x v="8"/>
    <s v="None"/>
    <n v="1224"/>
    <n v="1700"/>
    <n v="2125"/>
    <n v="2601000"/>
    <n v="2080800"/>
    <n v="520200"/>
    <x v="20"/>
    <n v="0.2"/>
  </r>
  <r>
    <x v="3"/>
    <x v="9"/>
    <x v="4"/>
    <s v="None"/>
    <n v="681"/>
    <n v="15300"/>
    <n v="19125"/>
    <n v="13024125"/>
    <n v="10419300"/>
    <n v="2604825"/>
    <x v="20"/>
    <n v="0.2"/>
  </r>
  <r>
    <x v="3"/>
    <x v="1"/>
    <x v="6"/>
    <s v="None"/>
    <n v="1286"/>
    <n v="10800"/>
    <n v="13500"/>
    <n v="17361000"/>
    <n v="13888800"/>
    <n v="3472200"/>
    <x v="21"/>
    <n v="0.2"/>
  </r>
  <r>
    <x v="3"/>
    <x v="5"/>
    <x v="6"/>
    <s v="None"/>
    <n v="869"/>
    <n v="13700"/>
    <n v="17125"/>
    <n v="14881625"/>
    <n v="11905300"/>
    <n v="2976325"/>
    <x v="21"/>
    <n v="0.2"/>
  </r>
  <r>
    <x v="3"/>
    <x v="2"/>
    <x v="7"/>
    <s v="None"/>
    <n v="2035"/>
    <n v="5200"/>
    <n v="6500"/>
    <n v="13227500"/>
    <n v="10582000"/>
    <n v="2645500"/>
    <x v="21"/>
    <n v="0.2"/>
  </r>
  <r>
    <x v="3"/>
    <x v="5"/>
    <x v="9"/>
    <s v="None"/>
    <n v="2269"/>
    <n v="6300"/>
    <n v="7875"/>
    <n v="17868375"/>
    <n v="14294700"/>
    <n v="3573675"/>
    <x v="267"/>
    <n v="0.2"/>
  </r>
  <r>
    <x v="3"/>
    <x v="0"/>
    <x v="5"/>
    <s v="None"/>
    <n v="1087"/>
    <n v="15500"/>
    <n v="19375"/>
    <n v="21060625"/>
    <n v="16848500"/>
    <n v="4212125"/>
    <x v="191"/>
    <n v="0.2"/>
  </r>
  <r>
    <x v="3"/>
    <x v="2"/>
    <x v="2"/>
    <s v="None"/>
    <n v="871"/>
    <n v="8100"/>
    <n v="10125"/>
    <n v="8818875"/>
    <n v="7055100"/>
    <n v="1763775"/>
    <x v="191"/>
    <n v="0.2"/>
  </r>
  <r>
    <x v="3"/>
    <x v="6"/>
    <x v="5"/>
    <s v="None"/>
    <n v="1168"/>
    <n v="21100"/>
    <n v="26375"/>
    <n v="30806000"/>
    <n v="24644800"/>
    <n v="6161200"/>
    <x v="27"/>
    <n v="0.2"/>
  </r>
  <r>
    <x v="3"/>
    <x v="5"/>
    <x v="1"/>
    <s v="None"/>
    <n v="2630"/>
    <n v="18600"/>
    <n v="23250"/>
    <n v="61147500"/>
    <n v="48918000"/>
    <n v="12229500"/>
    <x v="194"/>
    <n v="0.2"/>
  </r>
  <r>
    <x v="3"/>
    <x v="9"/>
    <x v="8"/>
    <s v="None"/>
    <n v="300"/>
    <n v="1500"/>
    <n v="1875"/>
    <n v="562500"/>
    <n v="450000"/>
    <n v="112500"/>
    <x v="269"/>
    <n v="0.2"/>
  </r>
  <r>
    <x v="3"/>
    <x v="5"/>
    <x v="1"/>
    <s v="None"/>
    <n v="1393"/>
    <n v="7900"/>
    <n v="9875"/>
    <n v="13755875"/>
    <n v="11004700"/>
    <n v="2751175"/>
    <x v="269"/>
    <n v="0.2"/>
  </r>
  <r>
    <x v="3"/>
    <x v="4"/>
    <x v="9"/>
    <s v="None"/>
    <n v="1087"/>
    <n v="10300"/>
    <n v="12875"/>
    <n v="13995125"/>
    <n v="11196100"/>
    <n v="2799025"/>
    <x v="195"/>
    <n v="0.2"/>
  </r>
  <r>
    <x v="3"/>
    <x v="5"/>
    <x v="6"/>
    <s v="None"/>
    <n v="1225"/>
    <n v="2000"/>
    <n v="2500"/>
    <n v="3062500"/>
    <n v="2450000"/>
    <n v="612500"/>
    <x v="195"/>
    <n v="0.2"/>
  </r>
  <r>
    <x v="3"/>
    <x v="4"/>
    <x v="2"/>
    <s v="None"/>
    <n v="1869"/>
    <n v="15800"/>
    <n v="19750"/>
    <n v="36912750"/>
    <n v="29530200"/>
    <n v="7382550"/>
    <x v="271"/>
    <n v="0.2"/>
  </r>
  <r>
    <x v="3"/>
    <x v="0"/>
    <x v="6"/>
    <s v="None"/>
    <n v="298"/>
    <n v="19700"/>
    <n v="24625"/>
    <n v="7338250"/>
    <n v="5870600"/>
    <n v="1467650"/>
    <x v="31"/>
    <n v="0.2"/>
  </r>
  <r>
    <x v="3"/>
    <x v="5"/>
    <x v="1"/>
    <s v="None"/>
    <n v="303"/>
    <n v="3400"/>
    <n v="4250"/>
    <n v="1287750"/>
    <n v="1030200"/>
    <n v="257550"/>
    <x v="34"/>
    <n v="0.2"/>
  </r>
  <r>
    <x v="3"/>
    <x v="3"/>
    <x v="0"/>
    <s v="None"/>
    <n v="2364"/>
    <n v="21900"/>
    <n v="27375"/>
    <n v="64714500"/>
    <n v="51771600"/>
    <n v="12942900"/>
    <x v="34"/>
    <n v="0.2"/>
  </r>
  <r>
    <x v="3"/>
    <x v="1"/>
    <x v="4"/>
    <s v="None"/>
    <n v="199"/>
    <n v="4900"/>
    <n v="6125"/>
    <n v="1218875"/>
    <n v="975100"/>
    <n v="243775"/>
    <x v="34"/>
    <n v="0.2"/>
  </r>
  <r>
    <x v="3"/>
    <x v="2"/>
    <x v="6"/>
    <s v="None"/>
    <n v="1662"/>
    <n v="11700"/>
    <n v="14625"/>
    <n v="24306750"/>
    <n v="19445400"/>
    <n v="4861350"/>
    <x v="36"/>
    <n v="0.2"/>
  </r>
  <r>
    <x v="3"/>
    <x v="6"/>
    <x v="3"/>
    <s v="None"/>
    <n v="793"/>
    <n v="9800"/>
    <n v="12250"/>
    <n v="9714250"/>
    <n v="7771400"/>
    <n v="1942850"/>
    <x v="198"/>
    <n v="0.2"/>
  </r>
  <r>
    <x v="3"/>
    <x v="4"/>
    <x v="9"/>
    <s v="None"/>
    <n v="1386"/>
    <n v="18900"/>
    <n v="23625"/>
    <n v="32744250"/>
    <n v="26195400"/>
    <n v="6548850"/>
    <x v="198"/>
    <n v="0.2"/>
  </r>
  <r>
    <x v="3"/>
    <x v="4"/>
    <x v="6"/>
    <s v="None"/>
    <n v="919"/>
    <n v="16000"/>
    <n v="20000"/>
    <n v="18380000"/>
    <n v="14704000"/>
    <n v="3676000"/>
    <x v="41"/>
    <n v="0.2"/>
  </r>
  <r>
    <x v="3"/>
    <x v="1"/>
    <x v="4"/>
    <s v="None"/>
    <n v="740"/>
    <n v="13700"/>
    <n v="17125"/>
    <n v="12672500"/>
    <n v="10138000"/>
    <n v="2534500"/>
    <x v="41"/>
    <n v="0.2"/>
  </r>
  <r>
    <x v="3"/>
    <x v="3"/>
    <x v="2"/>
    <s v="None"/>
    <n v="1010"/>
    <n v="10200"/>
    <n v="12750"/>
    <n v="12877500"/>
    <n v="10302000"/>
    <n v="2575500"/>
    <x v="199"/>
    <n v="0.2"/>
  </r>
  <r>
    <x v="3"/>
    <x v="3"/>
    <x v="8"/>
    <s v="None"/>
    <n v="2392"/>
    <n v="11000"/>
    <n v="13750"/>
    <n v="32890000"/>
    <n v="26312000"/>
    <n v="6578000"/>
    <x v="199"/>
    <n v="0.2"/>
  </r>
  <r>
    <x v="3"/>
    <x v="9"/>
    <x v="9"/>
    <s v="None"/>
    <n v="1678"/>
    <n v="23500"/>
    <n v="29375"/>
    <n v="49291250"/>
    <n v="39433000"/>
    <n v="9858250"/>
    <x v="319"/>
    <n v="0.2"/>
  </r>
  <r>
    <x v="3"/>
    <x v="9"/>
    <x v="6"/>
    <s v="None"/>
    <n v="878"/>
    <n v="12700"/>
    <n v="15875"/>
    <n v="13938250"/>
    <n v="11150600"/>
    <n v="2787650"/>
    <x v="319"/>
    <n v="0.2"/>
  </r>
  <r>
    <x v="3"/>
    <x v="5"/>
    <x v="0"/>
    <s v="None"/>
    <n v="391"/>
    <n v="1600"/>
    <n v="2000"/>
    <n v="782000"/>
    <n v="625600"/>
    <n v="156400"/>
    <x v="42"/>
    <n v="0.2"/>
  </r>
  <r>
    <x v="3"/>
    <x v="2"/>
    <x v="7"/>
    <s v="None"/>
    <n v="179"/>
    <n v="6200"/>
    <n v="7750"/>
    <n v="1387250"/>
    <n v="1109800"/>
    <n v="277450"/>
    <x v="42"/>
    <n v="0.2"/>
  </r>
  <r>
    <x v="3"/>
    <x v="5"/>
    <x v="4"/>
    <s v="None"/>
    <n v="1188"/>
    <n v="9500"/>
    <n v="11875"/>
    <n v="14107500"/>
    <n v="11286000"/>
    <n v="2821500"/>
    <x v="43"/>
    <n v="0.2"/>
  </r>
  <r>
    <x v="3"/>
    <x v="6"/>
    <x v="2"/>
    <s v="None"/>
    <n v="417"/>
    <n v="3900"/>
    <n v="4875"/>
    <n v="2032875"/>
    <n v="1626300"/>
    <n v="406575"/>
    <x v="44"/>
    <n v="0.2"/>
  </r>
  <r>
    <x v="3"/>
    <x v="2"/>
    <x v="0"/>
    <s v="None"/>
    <n v="602"/>
    <n v="8600"/>
    <n v="10750"/>
    <n v="6471500"/>
    <n v="5177200"/>
    <n v="1294300"/>
    <x v="320"/>
    <n v="0.2"/>
  </r>
  <r>
    <x v="3"/>
    <x v="1"/>
    <x v="2"/>
    <s v="None"/>
    <n v="213"/>
    <n v="23700"/>
    <n v="29625"/>
    <n v="6310125"/>
    <n v="5048100"/>
    <n v="1262025"/>
    <x v="320"/>
    <n v="0.2"/>
  </r>
  <r>
    <x v="3"/>
    <x v="6"/>
    <x v="9"/>
    <s v="None"/>
    <n v="1739"/>
    <n v="4100"/>
    <n v="5125"/>
    <n v="8912375"/>
    <n v="7129900"/>
    <n v="1782475"/>
    <x v="320"/>
    <n v="0.2"/>
  </r>
  <r>
    <x v="3"/>
    <x v="2"/>
    <x v="5"/>
    <s v="None"/>
    <n v="1321"/>
    <n v="4800"/>
    <n v="6000"/>
    <n v="7926000"/>
    <n v="6340800"/>
    <n v="1585200"/>
    <x v="321"/>
    <n v="0.2"/>
  </r>
  <r>
    <x v="3"/>
    <x v="4"/>
    <x v="0"/>
    <s v="None"/>
    <n v="2206"/>
    <n v="22000"/>
    <n v="27500"/>
    <n v="60665000"/>
    <n v="48532000"/>
    <n v="12133000"/>
    <x v="321"/>
    <n v="0.2"/>
  </r>
  <r>
    <x v="3"/>
    <x v="6"/>
    <x v="8"/>
    <s v="None"/>
    <n v="2167"/>
    <n v="6800"/>
    <n v="8500"/>
    <n v="18419500"/>
    <n v="14735600"/>
    <n v="3683900"/>
    <x v="47"/>
    <n v="0.2"/>
  </r>
  <r>
    <x v="3"/>
    <x v="1"/>
    <x v="4"/>
    <s v="None"/>
    <n v="1582"/>
    <n v="2100"/>
    <n v="2625"/>
    <n v="4152750"/>
    <n v="3322200"/>
    <n v="830550"/>
    <x v="201"/>
    <n v="0.2"/>
  </r>
  <r>
    <x v="3"/>
    <x v="2"/>
    <x v="3"/>
    <s v="None"/>
    <n v="2961"/>
    <n v="16300"/>
    <n v="20375"/>
    <n v="60330375"/>
    <n v="48264300"/>
    <n v="12066075"/>
    <x v="48"/>
    <n v="0.2"/>
  </r>
  <r>
    <x v="3"/>
    <x v="4"/>
    <x v="9"/>
    <s v="None"/>
    <n v="805"/>
    <n v="12200"/>
    <n v="15250"/>
    <n v="12276250"/>
    <n v="9821000"/>
    <n v="2455250"/>
    <x v="202"/>
    <n v="0.2"/>
  </r>
  <r>
    <x v="3"/>
    <x v="9"/>
    <x v="8"/>
    <s v="None"/>
    <n v="2620"/>
    <n v="4500"/>
    <n v="5625"/>
    <n v="14737500"/>
    <n v="11790000"/>
    <n v="2947500"/>
    <x v="275"/>
    <n v="0.2"/>
  </r>
  <r>
    <x v="3"/>
    <x v="6"/>
    <x v="4"/>
    <s v="None"/>
    <n v="1949"/>
    <n v="4900"/>
    <n v="6125"/>
    <n v="11937625"/>
    <n v="9550100"/>
    <n v="2387525"/>
    <x v="275"/>
    <n v="0.2"/>
  </r>
  <r>
    <x v="3"/>
    <x v="3"/>
    <x v="7"/>
    <s v="None"/>
    <n v="2882"/>
    <n v="2900"/>
    <n v="3625"/>
    <n v="10447250"/>
    <n v="8357800"/>
    <n v="2089450"/>
    <x v="49"/>
    <n v="0.2"/>
  </r>
  <r>
    <x v="3"/>
    <x v="6"/>
    <x v="5"/>
    <s v="None"/>
    <n v="1867"/>
    <n v="22300"/>
    <n v="27875"/>
    <n v="52042625"/>
    <n v="41634100"/>
    <n v="10408525"/>
    <x v="322"/>
    <n v="0.2"/>
  </r>
  <r>
    <x v="3"/>
    <x v="3"/>
    <x v="5"/>
    <s v="None"/>
    <n v="1967"/>
    <n v="9400"/>
    <n v="11750"/>
    <n v="23112250"/>
    <n v="18489800"/>
    <n v="4622450"/>
    <x v="50"/>
    <n v="0.2"/>
  </r>
  <r>
    <x v="3"/>
    <x v="1"/>
    <x v="8"/>
    <s v="None"/>
    <n v="1957"/>
    <n v="17000"/>
    <n v="21250"/>
    <n v="41586250"/>
    <n v="33269000"/>
    <n v="8317250"/>
    <x v="50"/>
    <n v="0.2"/>
  </r>
  <r>
    <x v="3"/>
    <x v="0"/>
    <x v="8"/>
    <s v="None"/>
    <n v="2226"/>
    <n v="11700"/>
    <n v="14625"/>
    <n v="32555250"/>
    <n v="26044200"/>
    <n v="6511050"/>
    <x v="53"/>
    <n v="0.2"/>
  </r>
  <r>
    <x v="3"/>
    <x v="8"/>
    <x v="9"/>
    <s v="None"/>
    <n v="343"/>
    <n v="10500"/>
    <n v="13125"/>
    <n v="4501875"/>
    <n v="3601500"/>
    <n v="900375"/>
    <x v="276"/>
    <n v="0.2"/>
  </r>
  <r>
    <x v="3"/>
    <x v="3"/>
    <x v="6"/>
    <s v="None"/>
    <n v="1681"/>
    <n v="7800"/>
    <n v="9750"/>
    <n v="16389750"/>
    <n v="13111800"/>
    <n v="3277950"/>
    <x v="278"/>
    <n v="0.2"/>
  </r>
  <r>
    <x v="3"/>
    <x v="0"/>
    <x v="1"/>
    <s v="None"/>
    <n v="1637"/>
    <n v="20600"/>
    <n v="25750"/>
    <n v="42152750"/>
    <n v="33722200"/>
    <n v="8430550"/>
    <x v="205"/>
    <n v="0.2"/>
  </r>
  <r>
    <x v="3"/>
    <x v="4"/>
    <x v="8"/>
    <s v="None"/>
    <n v="1613"/>
    <n v="22300"/>
    <n v="27875"/>
    <n v="44962375"/>
    <n v="35969900"/>
    <n v="8992475"/>
    <x v="205"/>
    <n v="0.2"/>
  </r>
  <r>
    <x v="3"/>
    <x v="1"/>
    <x v="7"/>
    <s v="None"/>
    <n v="1967"/>
    <n v="19200"/>
    <n v="24000"/>
    <n v="47208000"/>
    <n v="37766400"/>
    <n v="9441600"/>
    <x v="205"/>
    <n v="0.2"/>
  </r>
  <r>
    <x v="3"/>
    <x v="8"/>
    <x v="6"/>
    <s v="None"/>
    <n v="721"/>
    <n v="20700"/>
    <n v="25875"/>
    <n v="18655875"/>
    <n v="14924700"/>
    <n v="3731175"/>
    <x v="323"/>
    <n v="0.2"/>
  </r>
  <r>
    <x v="3"/>
    <x v="7"/>
    <x v="9"/>
    <s v="None"/>
    <n v="1570"/>
    <n v="19300"/>
    <n v="24125"/>
    <n v="37876250"/>
    <n v="30301000"/>
    <n v="7575250"/>
    <x v="323"/>
    <n v="0.2"/>
  </r>
  <r>
    <x v="3"/>
    <x v="5"/>
    <x v="5"/>
    <s v="None"/>
    <n v="1135"/>
    <n v="20200"/>
    <n v="25250"/>
    <n v="28658750"/>
    <n v="22927000"/>
    <n v="5731750"/>
    <x v="323"/>
    <n v="0.2"/>
  </r>
  <r>
    <x v="3"/>
    <x v="2"/>
    <x v="3"/>
    <s v="None"/>
    <n v="1388"/>
    <n v="5800"/>
    <n v="7250"/>
    <n v="10063000"/>
    <n v="8050400"/>
    <n v="2012600"/>
    <x v="323"/>
    <n v="0.2"/>
  </r>
  <r>
    <x v="3"/>
    <x v="9"/>
    <x v="9"/>
    <s v="None"/>
    <n v="1743"/>
    <n v="16000"/>
    <n v="20000"/>
    <n v="34860000"/>
    <n v="27888000"/>
    <n v="6972000"/>
    <x v="57"/>
    <n v="0.2"/>
  </r>
  <r>
    <x v="3"/>
    <x v="0"/>
    <x v="1"/>
    <s v="None"/>
    <n v="754"/>
    <n v="12000"/>
    <n v="15000"/>
    <n v="11310000"/>
    <n v="9048000"/>
    <n v="2262000"/>
    <x v="58"/>
    <n v="0.2"/>
  </r>
  <r>
    <x v="3"/>
    <x v="9"/>
    <x v="8"/>
    <s v="None"/>
    <n v="624"/>
    <n v="11500"/>
    <n v="14375"/>
    <n v="8970000"/>
    <n v="7176000"/>
    <n v="1794000"/>
    <x v="60"/>
    <n v="0.2"/>
  </r>
  <r>
    <x v="3"/>
    <x v="1"/>
    <x v="3"/>
    <s v="None"/>
    <n v="1642"/>
    <n v="22700"/>
    <n v="28375"/>
    <n v="46591750"/>
    <n v="37273400"/>
    <n v="9318350"/>
    <x v="279"/>
    <n v="0.2"/>
  </r>
  <r>
    <x v="3"/>
    <x v="7"/>
    <x v="5"/>
    <s v="None"/>
    <n v="1479"/>
    <n v="5800"/>
    <n v="7250"/>
    <n v="10722750"/>
    <n v="8578200"/>
    <n v="2144550"/>
    <x v="280"/>
    <n v="0.2"/>
  </r>
  <r>
    <x v="3"/>
    <x v="2"/>
    <x v="9"/>
    <s v="None"/>
    <n v="400"/>
    <n v="13800"/>
    <n v="17250"/>
    <n v="6900000"/>
    <n v="5520000"/>
    <n v="1380000"/>
    <x v="65"/>
    <n v="0.2"/>
  </r>
  <r>
    <x v="3"/>
    <x v="2"/>
    <x v="9"/>
    <s v="None"/>
    <n v="1577"/>
    <n v="21500"/>
    <n v="26875"/>
    <n v="42381875"/>
    <n v="33905500"/>
    <n v="8476375"/>
    <x v="324"/>
    <n v="0.2"/>
  </r>
  <r>
    <x v="3"/>
    <x v="1"/>
    <x v="3"/>
    <s v="None"/>
    <n v="910"/>
    <n v="9500"/>
    <n v="11875"/>
    <n v="10806250"/>
    <n v="8645000"/>
    <n v="2161250"/>
    <x v="67"/>
    <n v="0.2"/>
  </r>
  <r>
    <x v="3"/>
    <x v="3"/>
    <x v="4"/>
    <s v="None"/>
    <n v="1933"/>
    <n v="22600"/>
    <n v="28250"/>
    <n v="54607250"/>
    <n v="43685800"/>
    <n v="10921450"/>
    <x v="67"/>
    <n v="0.2"/>
  </r>
  <r>
    <x v="3"/>
    <x v="8"/>
    <x v="6"/>
    <s v="None"/>
    <n v="1963"/>
    <n v="8500"/>
    <n v="10625"/>
    <n v="20856875"/>
    <n v="16685500"/>
    <n v="4171375"/>
    <x v="68"/>
    <n v="0.2"/>
  </r>
  <r>
    <x v="3"/>
    <x v="5"/>
    <x v="8"/>
    <s v="None"/>
    <n v="2481"/>
    <n v="6100"/>
    <n v="7625"/>
    <n v="18917625"/>
    <n v="15134100"/>
    <n v="3783525"/>
    <x v="209"/>
    <n v="0.2"/>
  </r>
  <r>
    <x v="3"/>
    <x v="3"/>
    <x v="0"/>
    <s v="None"/>
    <n v="720"/>
    <n v="20700"/>
    <n v="25875"/>
    <n v="18630000"/>
    <n v="14904000"/>
    <n v="3726000"/>
    <x v="210"/>
    <n v="0.2"/>
  </r>
  <r>
    <x v="3"/>
    <x v="6"/>
    <x v="8"/>
    <s v="None"/>
    <n v="1032"/>
    <n v="19000"/>
    <n v="23750"/>
    <n v="24510000"/>
    <n v="19608000"/>
    <n v="4902000"/>
    <x v="211"/>
    <n v="0.2"/>
  </r>
  <r>
    <x v="3"/>
    <x v="2"/>
    <x v="2"/>
    <s v="None"/>
    <n v="1505"/>
    <n v="18700"/>
    <n v="23375"/>
    <n v="35179375"/>
    <n v="28143500"/>
    <n v="7035875"/>
    <x v="211"/>
    <n v="0.2"/>
  </r>
  <r>
    <x v="3"/>
    <x v="0"/>
    <x v="8"/>
    <s v="None"/>
    <n v="962"/>
    <n v="7200"/>
    <n v="9000"/>
    <n v="8658000"/>
    <n v="6926400"/>
    <n v="1731600"/>
    <x v="71"/>
    <n v="0.2"/>
  </r>
  <r>
    <x v="3"/>
    <x v="5"/>
    <x v="1"/>
    <s v="None"/>
    <n v="1472"/>
    <n v="20400"/>
    <n v="25500"/>
    <n v="37536000"/>
    <n v="30028800"/>
    <n v="7507200"/>
    <x v="71"/>
    <n v="0.2"/>
  </r>
  <r>
    <x v="3"/>
    <x v="8"/>
    <x v="3"/>
    <s v="None"/>
    <n v="1578"/>
    <n v="5600"/>
    <n v="7000"/>
    <n v="11046000"/>
    <n v="8836800"/>
    <n v="2209200"/>
    <x v="71"/>
    <n v="0.2"/>
  </r>
  <r>
    <x v="3"/>
    <x v="5"/>
    <x v="4"/>
    <s v="None"/>
    <n v="1341"/>
    <n v="13400"/>
    <n v="16750"/>
    <n v="22461750"/>
    <n v="17969400"/>
    <n v="4492350"/>
    <x v="72"/>
    <n v="0.2"/>
  </r>
  <r>
    <x v="3"/>
    <x v="7"/>
    <x v="2"/>
    <s v="None"/>
    <n v="1410"/>
    <n v="17400"/>
    <n v="21750"/>
    <n v="30667500"/>
    <n v="24534000"/>
    <n v="6133500"/>
    <x v="73"/>
    <n v="0.2"/>
  </r>
  <r>
    <x v="3"/>
    <x v="3"/>
    <x v="8"/>
    <s v="None"/>
    <n v="1854"/>
    <n v="6300"/>
    <n v="7875"/>
    <n v="14600250"/>
    <n v="11680200"/>
    <n v="2920050"/>
    <x v="74"/>
    <n v="0.2"/>
  </r>
  <r>
    <x v="3"/>
    <x v="6"/>
    <x v="9"/>
    <s v="None"/>
    <n v="420"/>
    <n v="20800"/>
    <n v="26000"/>
    <n v="10920000"/>
    <n v="8736000"/>
    <n v="2184000"/>
    <x v="75"/>
    <n v="0.2"/>
  </r>
  <r>
    <x v="3"/>
    <x v="0"/>
    <x v="7"/>
    <s v="None"/>
    <n v="2777"/>
    <n v="2700"/>
    <n v="3375"/>
    <n v="9372375"/>
    <n v="7497900"/>
    <n v="1874475"/>
    <x v="325"/>
    <n v="0.2"/>
  </r>
  <r>
    <x v="3"/>
    <x v="7"/>
    <x v="8"/>
    <s v="None"/>
    <n v="610"/>
    <n v="4700"/>
    <n v="5875"/>
    <n v="3583750"/>
    <n v="2867000"/>
    <n v="716750"/>
    <x v="77"/>
    <n v="0.2"/>
  </r>
  <r>
    <x v="3"/>
    <x v="4"/>
    <x v="4"/>
    <s v="None"/>
    <n v="2367"/>
    <n v="5200"/>
    <n v="6500"/>
    <n v="15385500"/>
    <n v="12308400"/>
    <n v="3077100"/>
    <x v="216"/>
    <n v="0.2"/>
  </r>
  <r>
    <x v="3"/>
    <x v="0"/>
    <x v="4"/>
    <s v="None"/>
    <n v="2049"/>
    <n v="9100"/>
    <n v="11375"/>
    <n v="23307375"/>
    <n v="18645900"/>
    <n v="4661475"/>
    <x v="79"/>
    <n v="0.2"/>
  </r>
  <r>
    <x v="3"/>
    <x v="9"/>
    <x v="5"/>
    <s v="None"/>
    <n v="790"/>
    <n v="20200"/>
    <n v="25250"/>
    <n v="19947500"/>
    <n v="15958000"/>
    <n v="3989500"/>
    <x v="282"/>
    <n v="0.2"/>
  </r>
  <r>
    <x v="3"/>
    <x v="3"/>
    <x v="6"/>
    <s v="None"/>
    <n v="1857"/>
    <n v="20088"/>
    <n v="25000"/>
    <n v="46425000"/>
    <n v="37303416"/>
    <n v="9121584"/>
    <x v="283"/>
    <n v="0.19647999999999999"/>
  </r>
  <r>
    <x v="3"/>
    <x v="3"/>
    <x v="2"/>
    <s v="None"/>
    <n v="269"/>
    <n v="14500"/>
    <n v="18125"/>
    <n v="4875625"/>
    <n v="3900500"/>
    <n v="975125"/>
    <x v="80"/>
    <n v="0.2"/>
  </r>
  <r>
    <x v="3"/>
    <x v="7"/>
    <x v="6"/>
    <s v="None"/>
    <n v="2302"/>
    <n v="13600"/>
    <n v="17000"/>
    <n v="39134000"/>
    <n v="31307200"/>
    <n v="7826800"/>
    <x v="80"/>
    <n v="0.2"/>
  </r>
  <r>
    <x v="3"/>
    <x v="7"/>
    <x v="5"/>
    <s v="None"/>
    <n v="516"/>
    <n v="19800"/>
    <n v="24750"/>
    <n v="12771000"/>
    <n v="10216800"/>
    <n v="2554200"/>
    <x v="218"/>
    <n v="0.2"/>
  </r>
  <r>
    <x v="3"/>
    <x v="5"/>
    <x v="5"/>
    <s v="None"/>
    <n v="534"/>
    <n v="24900"/>
    <n v="31125"/>
    <n v="16620750"/>
    <n v="13296600"/>
    <n v="3324150"/>
    <x v="82"/>
    <n v="0.2"/>
  </r>
  <r>
    <x v="3"/>
    <x v="3"/>
    <x v="1"/>
    <s v="None"/>
    <n v="2990"/>
    <n v="9900"/>
    <n v="12375"/>
    <n v="37001250"/>
    <n v="29601000"/>
    <n v="7400250"/>
    <x v="286"/>
    <n v="0.2"/>
  </r>
  <r>
    <x v="3"/>
    <x v="2"/>
    <x v="9"/>
    <s v="None"/>
    <n v="1138"/>
    <n v="14000"/>
    <n v="17500"/>
    <n v="19915000"/>
    <n v="15932000"/>
    <n v="3983000"/>
    <x v="83"/>
    <n v="0.2"/>
  </r>
  <r>
    <x v="3"/>
    <x v="3"/>
    <x v="9"/>
    <s v="None"/>
    <n v="1376"/>
    <n v="23100"/>
    <n v="28875"/>
    <n v="39732000"/>
    <n v="31785600"/>
    <n v="7946400"/>
    <x v="220"/>
    <n v="0.2"/>
  </r>
  <r>
    <x v="3"/>
    <x v="2"/>
    <x v="6"/>
    <s v="None"/>
    <n v="1970"/>
    <n v="3400"/>
    <n v="4250"/>
    <n v="8372500"/>
    <n v="6698000"/>
    <n v="1674500"/>
    <x v="287"/>
    <n v="0.2"/>
  </r>
  <r>
    <x v="3"/>
    <x v="8"/>
    <x v="9"/>
    <s v="None"/>
    <n v="2043"/>
    <n v="18900"/>
    <n v="23625"/>
    <n v="48265875"/>
    <n v="38612700"/>
    <n v="9653175"/>
    <x v="84"/>
    <n v="0.2"/>
  </r>
  <r>
    <x v="3"/>
    <x v="9"/>
    <x v="5"/>
    <s v="None"/>
    <n v="2210"/>
    <n v="2300"/>
    <n v="2875"/>
    <n v="6353750"/>
    <n v="5083000"/>
    <n v="1270750"/>
    <x v="84"/>
    <n v="0.2"/>
  </r>
  <r>
    <x v="3"/>
    <x v="5"/>
    <x v="0"/>
    <s v="None"/>
    <n v="2664"/>
    <n v="23500"/>
    <n v="29375"/>
    <n v="78255000"/>
    <n v="62604000"/>
    <n v="15651000"/>
    <x v="84"/>
    <n v="0.2"/>
  </r>
  <r>
    <x v="3"/>
    <x v="3"/>
    <x v="7"/>
    <s v="None"/>
    <n v="2540"/>
    <n v="3000"/>
    <n v="3750"/>
    <n v="9525000"/>
    <n v="7620000"/>
    <n v="1905000"/>
    <x v="85"/>
    <n v="0.2"/>
  </r>
  <r>
    <x v="3"/>
    <x v="1"/>
    <x v="9"/>
    <s v="None"/>
    <n v="1847"/>
    <n v="5600"/>
    <n v="7000"/>
    <n v="12929000"/>
    <n v="10343200"/>
    <n v="2585800"/>
    <x v="85"/>
    <n v="0.2"/>
  </r>
  <r>
    <x v="3"/>
    <x v="8"/>
    <x v="4"/>
    <s v="None"/>
    <n v="2722"/>
    <n v="24000"/>
    <n v="30000"/>
    <n v="81660000"/>
    <n v="65328000"/>
    <n v="16332000"/>
    <x v="221"/>
    <n v="0.2"/>
  </r>
  <r>
    <x v="3"/>
    <x v="2"/>
    <x v="3"/>
    <s v="None"/>
    <n v="2991"/>
    <n v="21800"/>
    <n v="27250"/>
    <n v="81504750"/>
    <n v="65203800"/>
    <n v="16300950"/>
    <x v="289"/>
    <n v="0.2"/>
  </r>
  <r>
    <x v="3"/>
    <x v="2"/>
    <x v="7"/>
    <s v="None"/>
    <n v="2526"/>
    <n v="22800"/>
    <n v="28500"/>
    <n v="71991000"/>
    <n v="57592800"/>
    <n v="14398200"/>
    <x v="86"/>
    <n v="0.2"/>
  </r>
  <r>
    <x v="3"/>
    <x v="4"/>
    <x v="5"/>
    <s v="None"/>
    <n v="2612"/>
    <n v="17400"/>
    <n v="21750"/>
    <n v="56811000"/>
    <n v="45448800"/>
    <n v="11362200"/>
    <x v="290"/>
    <n v="0.2"/>
  </r>
  <r>
    <x v="3"/>
    <x v="7"/>
    <x v="9"/>
    <s v="None"/>
    <n v="360"/>
    <n v="7900"/>
    <n v="9875"/>
    <n v="3555000"/>
    <n v="2844000"/>
    <n v="711000"/>
    <x v="222"/>
    <n v="0.2"/>
  </r>
  <r>
    <x v="3"/>
    <x v="5"/>
    <x v="5"/>
    <s v="None"/>
    <n v="597"/>
    <n v="13300"/>
    <n v="16625"/>
    <n v="9925125"/>
    <n v="7940100"/>
    <n v="1985025"/>
    <x v="222"/>
    <n v="0.2"/>
  </r>
  <r>
    <x v="3"/>
    <x v="1"/>
    <x v="1"/>
    <s v="None"/>
    <n v="224"/>
    <n v="22800"/>
    <n v="28500"/>
    <n v="6384000"/>
    <n v="5107200"/>
    <n v="1276800"/>
    <x v="222"/>
    <n v="0.2"/>
  </r>
  <r>
    <x v="3"/>
    <x v="4"/>
    <x v="6"/>
    <s v="None"/>
    <n v="396"/>
    <n v="21500"/>
    <n v="26875"/>
    <n v="10642500"/>
    <n v="8514000"/>
    <n v="2128500"/>
    <x v="88"/>
    <n v="0.2"/>
  </r>
  <r>
    <x v="3"/>
    <x v="5"/>
    <x v="0"/>
    <s v="None"/>
    <n v="1514"/>
    <n v="13200"/>
    <n v="16500"/>
    <n v="24981000"/>
    <n v="19984800"/>
    <n v="4996200"/>
    <x v="326"/>
    <n v="0.2"/>
  </r>
  <r>
    <x v="3"/>
    <x v="4"/>
    <x v="1"/>
    <s v="None"/>
    <n v="2468"/>
    <n v="10700"/>
    <n v="13375"/>
    <n v="33009500"/>
    <n v="26407600"/>
    <n v="6601900"/>
    <x v="292"/>
    <n v="0.2"/>
  </r>
  <r>
    <x v="3"/>
    <x v="7"/>
    <x v="9"/>
    <s v="None"/>
    <n v="2269"/>
    <n v="2000"/>
    <n v="2500"/>
    <n v="5672500"/>
    <n v="4538000"/>
    <n v="1134500"/>
    <x v="293"/>
    <n v="0.2"/>
  </r>
  <r>
    <x v="3"/>
    <x v="3"/>
    <x v="3"/>
    <s v="None"/>
    <n v="1571"/>
    <n v="12400"/>
    <n v="15500"/>
    <n v="24350500"/>
    <n v="19480400"/>
    <n v="4870100"/>
    <x v="327"/>
    <n v="0.2"/>
  </r>
  <r>
    <x v="3"/>
    <x v="2"/>
    <x v="7"/>
    <s v="None"/>
    <n v="1344"/>
    <n v="17700"/>
    <n v="22125"/>
    <n v="29736000"/>
    <n v="23788800"/>
    <n v="5947200"/>
    <x v="327"/>
    <n v="0.2"/>
  </r>
  <r>
    <x v="3"/>
    <x v="8"/>
    <x v="3"/>
    <s v="None"/>
    <n v="659"/>
    <n v="11400"/>
    <n v="14250"/>
    <n v="9390750"/>
    <n v="7512600"/>
    <n v="1878150"/>
    <x v="327"/>
    <n v="0.2"/>
  </r>
  <r>
    <x v="3"/>
    <x v="8"/>
    <x v="1"/>
    <s v="None"/>
    <n v="2648"/>
    <n v="22300"/>
    <n v="27875"/>
    <n v="73813000"/>
    <n v="59050400"/>
    <n v="14762600"/>
    <x v="327"/>
    <n v="0.2"/>
  </r>
  <r>
    <x v="3"/>
    <x v="4"/>
    <x v="8"/>
    <s v="None"/>
    <n v="2740"/>
    <n v="9200"/>
    <n v="11500"/>
    <n v="31510000"/>
    <n v="25208000"/>
    <n v="6302000"/>
    <x v="294"/>
    <n v="0.2"/>
  </r>
  <r>
    <x v="3"/>
    <x v="1"/>
    <x v="2"/>
    <s v="None"/>
    <n v="423"/>
    <n v="5200"/>
    <n v="6500"/>
    <n v="2749500"/>
    <n v="2199600"/>
    <n v="549900"/>
    <x v="294"/>
    <n v="0.2"/>
  </r>
  <r>
    <x v="3"/>
    <x v="9"/>
    <x v="0"/>
    <s v="None"/>
    <n v="2866"/>
    <n v="19400"/>
    <n v="24250"/>
    <n v="69500500"/>
    <n v="55600400"/>
    <n v="13900100"/>
    <x v="294"/>
    <n v="0.2"/>
  </r>
  <r>
    <x v="3"/>
    <x v="3"/>
    <x v="0"/>
    <s v="None"/>
    <n v="2522"/>
    <n v="11300"/>
    <n v="14125"/>
    <n v="35623250"/>
    <n v="28498600"/>
    <n v="7124650"/>
    <x v="295"/>
    <n v="0.2"/>
  </r>
  <r>
    <x v="3"/>
    <x v="8"/>
    <x v="2"/>
    <s v="None"/>
    <n v="2635"/>
    <n v="24500"/>
    <n v="30625"/>
    <n v="80696875"/>
    <n v="64557500"/>
    <n v="16139375"/>
    <x v="295"/>
    <n v="0.2"/>
  </r>
  <r>
    <x v="3"/>
    <x v="9"/>
    <x v="7"/>
    <s v="None"/>
    <n v="1707"/>
    <n v="10500"/>
    <n v="13125"/>
    <n v="22404375"/>
    <n v="17923500"/>
    <n v="4480875"/>
    <x v="225"/>
    <n v="0.2"/>
  </r>
  <r>
    <x v="3"/>
    <x v="9"/>
    <x v="6"/>
    <s v="None"/>
    <n v="428"/>
    <n v="7600"/>
    <n v="9500"/>
    <n v="4066000"/>
    <n v="3252800"/>
    <n v="813200"/>
    <x v="95"/>
    <n v="0.2"/>
  </r>
  <r>
    <x v="3"/>
    <x v="4"/>
    <x v="9"/>
    <s v="None"/>
    <n v="1056"/>
    <n v="20100"/>
    <n v="25125"/>
    <n v="26532000"/>
    <n v="21225600"/>
    <n v="5306400"/>
    <x v="95"/>
    <n v="0.2"/>
  </r>
  <r>
    <x v="3"/>
    <x v="0"/>
    <x v="9"/>
    <s v="None"/>
    <n v="2991"/>
    <n v="6600"/>
    <n v="8250"/>
    <n v="24675750"/>
    <n v="19740600"/>
    <n v="4935150"/>
    <x v="96"/>
    <n v="0.2"/>
  </r>
  <r>
    <x v="3"/>
    <x v="6"/>
    <x v="6"/>
    <s v="None"/>
    <n v="2441"/>
    <n v="12200"/>
    <n v="15250"/>
    <n v="37225250"/>
    <n v="29780200"/>
    <n v="7445050"/>
    <x v="97"/>
    <n v="0.2"/>
  </r>
  <r>
    <x v="3"/>
    <x v="7"/>
    <x v="5"/>
    <s v="None"/>
    <n v="1825"/>
    <n v="8300"/>
    <n v="10375"/>
    <n v="18934375"/>
    <n v="15147500"/>
    <n v="3786875"/>
    <x v="97"/>
    <n v="0.2"/>
  </r>
  <r>
    <x v="3"/>
    <x v="6"/>
    <x v="0"/>
    <s v="None"/>
    <n v="1535"/>
    <n v="3300"/>
    <n v="4125"/>
    <n v="6331875"/>
    <n v="5065500"/>
    <n v="1266375"/>
    <x v="97"/>
    <n v="0.2"/>
  </r>
  <r>
    <x v="3"/>
    <x v="4"/>
    <x v="0"/>
    <s v="None"/>
    <n v="383"/>
    <n v="1900"/>
    <n v="2375"/>
    <n v="909625"/>
    <n v="727700"/>
    <n v="181925"/>
    <x v="98"/>
    <n v="0.2"/>
  </r>
  <r>
    <x v="3"/>
    <x v="8"/>
    <x v="1"/>
    <s v="None"/>
    <n v="1702"/>
    <n v="17800"/>
    <n v="22250"/>
    <n v="37869500"/>
    <n v="30295600"/>
    <n v="7573900"/>
    <x v="328"/>
    <n v="0.2"/>
  </r>
  <r>
    <x v="3"/>
    <x v="8"/>
    <x v="9"/>
    <s v="None"/>
    <n v="915"/>
    <n v="11500"/>
    <n v="14375"/>
    <n v="13153125"/>
    <n v="10522500"/>
    <n v="2630625"/>
    <x v="329"/>
    <n v="0.2"/>
  </r>
  <r>
    <x v="3"/>
    <x v="7"/>
    <x v="3"/>
    <s v="None"/>
    <n v="888"/>
    <n v="7100"/>
    <n v="8875"/>
    <n v="7881000"/>
    <n v="6304800"/>
    <n v="1576200"/>
    <x v="100"/>
    <n v="0.2"/>
  </r>
  <r>
    <x v="3"/>
    <x v="9"/>
    <x v="5"/>
    <s v="None"/>
    <n v="1385"/>
    <n v="6500"/>
    <n v="8125"/>
    <n v="11253125"/>
    <n v="9002500"/>
    <n v="2250625"/>
    <x v="226"/>
    <n v="0.2"/>
  </r>
  <r>
    <x v="3"/>
    <x v="1"/>
    <x v="1"/>
    <s v="None"/>
    <n v="936"/>
    <n v="19700"/>
    <n v="24625"/>
    <n v="23049000"/>
    <n v="18439200"/>
    <n v="4609800"/>
    <x v="226"/>
    <n v="0.2"/>
  </r>
  <r>
    <x v="3"/>
    <x v="0"/>
    <x v="8"/>
    <s v="None"/>
    <n v="2340"/>
    <n v="5500"/>
    <n v="6875"/>
    <n v="16087500"/>
    <n v="12870000"/>
    <n v="3217500"/>
    <x v="227"/>
    <n v="0.2"/>
  </r>
  <r>
    <x v="3"/>
    <x v="5"/>
    <x v="2"/>
    <s v="None"/>
    <n v="717"/>
    <n v="11272"/>
    <n v="14000"/>
    <n v="10038000"/>
    <n v="8082024"/>
    <n v="1955976"/>
    <x v="229"/>
    <n v="0.19485714285714287"/>
  </r>
  <r>
    <x v="3"/>
    <x v="5"/>
    <x v="1"/>
    <s v="None"/>
    <n v="190"/>
    <n v="22900"/>
    <n v="28625"/>
    <n v="5438750"/>
    <n v="4351000"/>
    <n v="1087750"/>
    <x v="330"/>
    <n v="0.2"/>
  </r>
  <r>
    <x v="3"/>
    <x v="5"/>
    <x v="3"/>
    <s v="None"/>
    <n v="1733"/>
    <n v="15600"/>
    <n v="19500"/>
    <n v="33793500"/>
    <n v="27034800"/>
    <n v="6758700"/>
    <x v="330"/>
    <n v="0.2"/>
  </r>
  <r>
    <x v="3"/>
    <x v="1"/>
    <x v="0"/>
    <s v="None"/>
    <n v="534"/>
    <n v="23100"/>
    <n v="28875"/>
    <n v="15419250"/>
    <n v="12335400"/>
    <n v="3083850"/>
    <x v="107"/>
    <n v="0.2"/>
  </r>
  <r>
    <x v="3"/>
    <x v="1"/>
    <x v="6"/>
    <s v="None"/>
    <n v="712"/>
    <n v="8900"/>
    <n v="11125"/>
    <n v="7921000"/>
    <n v="6336800"/>
    <n v="1584200"/>
    <x v="108"/>
    <n v="0.2"/>
  </r>
  <r>
    <x v="3"/>
    <x v="6"/>
    <x v="5"/>
    <s v="None"/>
    <n v="1146"/>
    <n v="24600"/>
    <n v="30750"/>
    <n v="35239500"/>
    <n v="28191600"/>
    <n v="7047900"/>
    <x v="231"/>
    <n v="0.2"/>
  </r>
  <r>
    <x v="3"/>
    <x v="7"/>
    <x v="7"/>
    <s v="None"/>
    <n v="2588"/>
    <n v="2700"/>
    <n v="3375"/>
    <n v="8734500"/>
    <n v="6987600"/>
    <n v="1746900"/>
    <x v="109"/>
    <n v="0.2"/>
  </r>
  <r>
    <x v="3"/>
    <x v="4"/>
    <x v="3"/>
    <s v="None"/>
    <n v="1341"/>
    <n v="11800"/>
    <n v="14750"/>
    <n v="19779750"/>
    <n v="15823800"/>
    <n v="3955950"/>
    <x v="232"/>
    <n v="0.2"/>
  </r>
  <r>
    <x v="3"/>
    <x v="4"/>
    <x v="5"/>
    <s v="None"/>
    <n v="674"/>
    <n v="10500"/>
    <n v="13125"/>
    <n v="8846250"/>
    <n v="7077000"/>
    <n v="1769250"/>
    <x v="111"/>
    <n v="0.2"/>
  </r>
  <r>
    <x v="3"/>
    <x v="7"/>
    <x v="9"/>
    <s v="None"/>
    <n v="1421"/>
    <n v="15900"/>
    <n v="19875"/>
    <n v="28242375"/>
    <n v="22593900"/>
    <n v="5648475"/>
    <x v="331"/>
    <n v="0.2"/>
  </r>
  <r>
    <x v="3"/>
    <x v="5"/>
    <x v="5"/>
    <s v="None"/>
    <n v="796"/>
    <n v="2300"/>
    <n v="2875"/>
    <n v="2288500"/>
    <n v="1830800"/>
    <n v="457700"/>
    <x v="331"/>
    <n v="0.2"/>
  </r>
  <r>
    <x v="3"/>
    <x v="7"/>
    <x v="2"/>
    <s v="None"/>
    <n v="2378"/>
    <n v="18400"/>
    <n v="23000"/>
    <n v="54694000"/>
    <n v="43755200"/>
    <n v="10938800"/>
    <x v="112"/>
    <n v="0.2"/>
  </r>
  <r>
    <x v="3"/>
    <x v="2"/>
    <x v="6"/>
    <s v="None"/>
    <n v="994"/>
    <n v="3900"/>
    <n v="4875"/>
    <n v="4845750"/>
    <n v="3876600"/>
    <n v="969150"/>
    <x v="112"/>
    <n v="0.2"/>
  </r>
  <r>
    <x v="3"/>
    <x v="0"/>
    <x v="6"/>
    <s v="None"/>
    <n v="2230"/>
    <n v="15800"/>
    <n v="19750"/>
    <n v="44042500"/>
    <n v="35234000"/>
    <n v="8808500"/>
    <x v="233"/>
    <n v="0.2"/>
  </r>
  <r>
    <x v="3"/>
    <x v="4"/>
    <x v="7"/>
    <s v="None"/>
    <n v="2320"/>
    <n v="18300"/>
    <n v="22875"/>
    <n v="53070000"/>
    <n v="42456000"/>
    <n v="10614000"/>
    <x v="116"/>
    <n v="0.2"/>
  </r>
  <r>
    <x v="3"/>
    <x v="5"/>
    <x v="0"/>
    <s v="None"/>
    <n v="1994"/>
    <n v="5700"/>
    <n v="7125"/>
    <n v="14207250"/>
    <n v="11365800"/>
    <n v="2841450"/>
    <x v="118"/>
    <n v="0.2"/>
  </r>
  <r>
    <x v="3"/>
    <x v="9"/>
    <x v="0"/>
    <s v="None"/>
    <n v="2486"/>
    <n v="22600"/>
    <n v="28250"/>
    <n v="70229500"/>
    <n v="56183600"/>
    <n v="14045900"/>
    <x v="118"/>
    <n v="0.2"/>
  </r>
  <r>
    <x v="3"/>
    <x v="5"/>
    <x v="8"/>
    <s v="None"/>
    <n v="1113"/>
    <n v="15800"/>
    <n v="19750"/>
    <n v="21981750"/>
    <n v="17585400"/>
    <n v="4396350"/>
    <x v="234"/>
    <n v="0.2"/>
  </r>
  <r>
    <x v="3"/>
    <x v="1"/>
    <x v="9"/>
    <s v="None"/>
    <n v="2237"/>
    <n v="18800"/>
    <n v="23500"/>
    <n v="52569500"/>
    <n v="42055600"/>
    <n v="10513900"/>
    <x v="234"/>
    <n v="0.2"/>
  </r>
  <r>
    <x v="3"/>
    <x v="9"/>
    <x v="3"/>
    <s v="None"/>
    <n v="805"/>
    <n v="24900"/>
    <n v="31125"/>
    <n v="25055625"/>
    <n v="20044500"/>
    <n v="5011125"/>
    <x v="234"/>
    <n v="0.2"/>
  </r>
  <r>
    <x v="3"/>
    <x v="6"/>
    <x v="0"/>
    <s v="None"/>
    <n v="1109"/>
    <n v="15400"/>
    <n v="19250"/>
    <n v="21348250"/>
    <n v="17078600"/>
    <n v="4269650"/>
    <x v="119"/>
    <n v="0.2"/>
  </r>
  <r>
    <x v="3"/>
    <x v="3"/>
    <x v="6"/>
    <s v="None"/>
    <n v="546"/>
    <n v="16800"/>
    <n v="21000"/>
    <n v="11466000"/>
    <n v="9172800"/>
    <n v="2293200"/>
    <x v="120"/>
    <n v="0.2"/>
  </r>
  <r>
    <x v="3"/>
    <x v="3"/>
    <x v="8"/>
    <s v="None"/>
    <n v="970"/>
    <n v="16778"/>
    <n v="20875"/>
    <n v="20248750"/>
    <n v="16274660"/>
    <n v="3974090"/>
    <x v="332"/>
    <n v="0.19626347305389222"/>
  </r>
  <r>
    <x v="3"/>
    <x v="2"/>
    <x v="7"/>
    <s v="None"/>
    <n v="2325"/>
    <n v="13900"/>
    <n v="17375"/>
    <n v="40396875"/>
    <n v="32317500"/>
    <n v="8079375"/>
    <x v="121"/>
    <n v="0.2"/>
  </r>
  <r>
    <x v="3"/>
    <x v="7"/>
    <x v="9"/>
    <s v="None"/>
    <n v="2466"/>
    <n v="9400"/>
    <n v="11750"/>
    <n v="28975500"/>
    <n v="23180400"/>
    <n v="5795100"/>
    <x v="333"/>
    <n v="0.2"/>
  </r>
  <r>
    <x v="3"/>
    <x v="2"/>
    <x v="1"/>
    <s v="None"/>
    <n v="421"/>
    <n v="9600"/>
    <n v="12000"/>
    <n v="5052000"/>
    <n v="4041600"/>
    <n v="1010400"/>
    <x v="236"/>
    <n v="0.2"/>
  </r>
  <r>
    <x v="3"/>
    <x v="6"/>
    <x v="1"/>
    <s v="None"/>
    <n v="553"/>
    <n v="21100"/>
    <n v="26375"/>
    <n v="14585375"/>
    <n v="11668300"/>
    <n v="2917075"/>
    <x v="124"/>
    <n v="0.2"/>
  </r>
  <r>
    <x v="3"/>
    <x v="6"/>
    <x v="6"/>
    <s v="None"/>
    <n v="240"/>
    <n v="15400"/>
    <n v="19250"/>
    <n v="4620000"/>
    <n v="3696000"/>
    <n v="924000"/>
    <x v="125"/>
    <n v="0.2"/>
  </r>
  <r>
    <x v="3"/>
    <x v="4"/>
    <x v="9"/>
    <s v="None"/>
    <n v="2749"/>
    <n v="4500"/>
    <n v="5625"/>
    <n v="15463125"/>
    <n v="12370500"/>
    <n v="3092625"/>
    <x v="127"/>
    <n v="0.2"/>
  </r>
  <r>
    <x v="3"/>
    <x v="9"/>
    <x v="2"/>
    <s v="None"/>
    <n v="2963"/>
    <n v="7400"/>
    <n v="9250"/>
    <n v="27407750"/>
    <n v="21926200"/>
    <n v="5481550"/>
    <x v="237"/>
    <n v="0.2"/>
  </r>
  <r>
    <x v="3"/>
    <x v="9"/>
    <x v="3"/>
    <s v="None"/>
    <n v="2587"/>
    <n v="17900"/>
    <n v="22375"/>
    <n v="57884125"/>
    <n v="46307300"/>
    <n v="11576825"/>
    <x v="237"/>
    <n v="0.2"/>
  </r>
  <r>
    <x v="3"/>
    <x v="7"/>
    <x v="6"/>
    <s v="None"/>
    <n v="1103"/>
    <n v="1900"/>
    <n v="2375"/>
    <n v="2619625"/>
    <n v="2095700"/>
    <n v="523925"/>
    <x v="299"/>
    <n v="0.2"/>
  </r>
  <r>
    <x v="3"/>
    <x v="6"/>
    <x v="6"/>
    <s v="None"/>
    <n v="231"/>
    <n v="17300"/>
    <n v="21625"/>
    <n v="4995375"/>
    <n v="3996300"/>
    <n v="999075"/>
    <x v="299"/>
    <n v="0.2"/>
  </r>
  <r>
    <x v="3"/>
    <x v="2"/>
    <x v="9"/>
    <s v="None"/>
    <n v="2801"/>
    <n v="21700"/>
    <n v="27125"/>
    <n v="75977125"/>
    <n v="60781700"/>
    <n v="15195425"/>
    <x v="299"/>
    <n v="0.2"/>
  </r>
  <r>
    <x v="3"/>
    <x v="9"/>
    <x v="6"/>
    <s v="None"/>
    <n v="2253"/>
    <n v="14400"/>
    <n v="18000"/>
    <n v="40554000"/>
    <n v="32443200"/>
    <n v="8110800"/>
    <x v="128"/>
    <n v="0.2"/>
  </r>
  <r>
    <x v="3"/>
    <x v="8"/>
    <x v="0"/>
    <s v="None"/>
    <n v="2309"/>
    <n v="17900"/>
    <n v="22375"/>
    <n v="51663875"/>
    <n v="41331100"/>
    <n v="10332775"/>
    <x v="300"/>
    <n v="0.2"/>
  </r>
  <r>
    <x v="3"/>
    <x v="8"/>
    <x v="6"/>
    <s v="None"/>
    <n v="1984"/>
    <n v="8300"/>
    <n v="10375"/>
    <n v="20584000"/>
    <n v="16467200"/>
    <n v="4116800"/>
    <x v="302"/>
    <n v="0.2"/>
  </r>
  <r>
    <x v="3"/>
    <x v="4"/>
    <x v="4"/>
    <s v="None"/>
    <n v="1159"/>
    <n v="10600"/>
    <n v="13250"/>
    <n v="15356750"/>
    <n v="12285400"/>
    <n v="3071350"/>
    <x v="239"/>
    <n v="0.2"/>
  </r>
  <r>
    <x v="3"/>
    <x v="5"/>
    <x v="3"/>
    <s v="None"/>
    <n v="2276"/>
    <n v="12800"/>
    <n v="16000"/>
    <n v="36416000"/>
    <n v="29132800"/>
    <n v="7283200"/>
    <x v="239"/>
    <n v="0.2"/>
  </r>
  <r>
    <x v="3"/>
    <x v="2"/>
    <x v="0"/>
    <s v="None"/>
    <n v="526"/>
    <n v="17300"/>
    <n v="21625"/>
    <n v="11374750"/>
    <n v="9099800"/>
    <n v="2274950"/>
    <x v="130"/>
    <n v="0.2"/>
  </r>
  <r>
    <x v="3"/>
    <x v="4"/>
    <x v="9"/>
    <s v="None"/>
    <n v="1001"/>
    <n v="15200"/>
    <n v="19000"/>
    <n v="19019000"/>
    <n v="15215200"/>
    <n v="3803800"/>
    <x v="130"/>
    <n v="0.2"/>
  </r>
  <r>
    <x v="3"/>
    <x v="2"/>
    <x v="2"/>
    <s v="None"/>
    <n v="503"/>
    <n v="3100"/>
    <n v="3875"/>
    <n v="1949125"/>
    <n v="1559300"/>
    <n v="389825"/>
    <x v="334"/>
    <n v="0.2"/>
  </r>
  <r>
    <x v="3"/>
    <x v="7"/>
    <x v="0"/>
    <s v="None"/>
    <n v="708"/>
    <n v="13400"/>
    <n v="16750"/>
    <n v="11859000"/>
    <n v="9487200"/>
    <n v="2371800"/>
    <x v="334"/>
    <n v="0.2"/>
  </r>
  <r>
    <x v="3"/>
    <x v="5"/>
    <x v="3"/>
    <s v="None"/>
    <n v="2819"/>
    <n v="13600"/>
    <n v="17000"/>
    <n v="47923000"/>
    <n v="38338400"/>
    <n v="9584600"/>
    <x v="334"/>
    <n v="0.2"/>
  </r>
  <r>
    <x v="3"/>
    <x v="0"/>
    <x v="6"/>
    <s v="None"/>
    <n v="1038"/>
    <n v="19000"/>
    <n v="23750"/>
    <n v="24652500"/>
    <n v="19722000"/>
    <n v="4930500"/>
    <x v="335"/>
    <n v="0.2"/>
  </r>
  <r>
    <x v="3"/>
    <x v="7"/>
    <x v="3"/>
    <s v="None"/>
    <n v="274"/>
    <n v="6500"/>
    <n v="8125"/>
    <n v="2226250"/>
    <n v="1781000"/>
    <n v="445250"/>
    <x v="132"/>
    <n v="0.2"/>
  </r>
  <r>
    <x v="3"/>
    <x v="2"/>
    <x v="3"/>
    <s v="None"/>
    <n v="799"/>
    <n v="23300"/>
    <n v="29125"/>
    <n v="23270875"/>
    <n v="18616700"/>
    <n v="4654175"/>
    <x v="303"/>
    <n v="0.2"/>
  </r>
  <r>
    <x v="3"/>
    <x v="0"/>
    <x v="6"/>
    <s v="None"/>
    <n v="1996"/>
    <n v="8900"/>
    <n v="11125"/>
    <n v="22205500"/>
    <n v="17764400"/>
    <n v="4441100"/>
    <x v="336"/>
    <n v="0.2"/>
  </r>
  <r>
    <x v="3"/>
    <x v="7"/>
    <x v="2"/>
    <s v="None"/>
    <n v="933"/>
    <n v="19200"/>
    <n v="24000"/>
    <n v="22392000"/>
    <n v="17913600"/>
    <n v="4478400"/>
    <x v="135"/>
    <n v="0.2"/>
  </r>
  <r>
    <x v="3"/>
    <x v="1"/>
    <x v="8"/>
    <s v="None"/>
    <n v="2800"/>
    <n v="10800"/>
    <n v="13500"/>
    <n v="37800000"/>
    <n v="30240000"/>
    <n v="7560000"/>
    <x v="136"/>
    <n v="0.2"/>
  </r>
  <r>
    <x v="3"/>
    <x v="7"/>
    <x v="8"/>
    <s v="None"/>
    <n v="2088"/>
    <n v="3200"/>
    <n v="4000"/>
    <n v="8352000"/>
    <n v="6681600"/>
    <n v="1670400"/>
    <x v="137"/>
    <n v="0.2"/>
  </r>
  <r>
    <x v="3"/>
    <x v="3"/>
    <x v="4"/>
    <s v="None"/>
    <n v="329"/>
    <n v="11200"/>
    <n v="14000"/>
    <n v="4606000"/>
    <n v="3684800"/>
    <n v="921200"/>
    <x v="137"/>
    <n v="0.2"/>
  </r>
  <r>
    <x v="3"/>
    <x v="3"/>
    <x v="5"/>
    <s v="None"/>
    <n v="179"/>
    <n v="13400"/>
    <n v="16750"/>
    <n v="2998250"/>
    <n v="2398600"/>
    <n v="599650"/>
    <x v="242"/>
    <n v="0.2"/>
  </r>
  <r>
    <x v="3"/>
    <x v="6"/>
    <x v="2"/>
    <s v="None"/>
    <n v="738"/>
    <n v="3500"/>
    <n v="4375"/>
    <n v="3228750"/>
    <n v="2583000"/>
    <n v="645750"/>
    <x v="304"/>
    <n v="0.2"/>
  </r>
  <r>
    <x v="3"/>
    <x v="6"/>
    <x v="8"/>
    <s v="None"/>
    <n v="2666"/>
    <n v="8300"/>
    <n v="10375"/>
    <n v="27659750"/>
    <n v="22127800"/>
    <n v="5531950"/>
    <x v="244"/>
    <n v="0.2"/>
  </r>
  <r>
    <x v="3"/>
    <x v="9"/>
    <x v="5"/>
    <s v="None"/>
    <n v="1944"/>
    <n v="19800"/>
    <n v="24750"/>
    <n v="48114000"/>
    <n v="38491200"/>
    <n v="9622800"/>
    <x v="139"/>
    <n v="0.2"/>
  </r>
  <r>
    <x v="3"/>
    <x v="6"/>
    <x v="4"/>
    <s v="None"/>
    <n v="2194"/>
    <n v="2900"/>
    <n v="3625"/>
    <n v="7953250"/>
    <n v="6362600"/>
    <n v="1590650"/>
    <x v="337"/>
    <n v="0.2"/>
  </r>
  <r>
    <x v="3"/>
    <x v="6"/>
    <x v="9"/>
    <s v="None"/>
    <n v="1657"/>
    <n v="4800"/>
    <n v="6000"/>
    <n v="9942000"/>
    <n v="7953600"/>
    <n v="1988400"/>
    <x v="337"/>
    <n v="0.2"/>
  </r>
  <r>
    <x v="3"/>
    <x v="8"/>
    <x v="0"/>
    <s v="None"/>
    <n v="925"/>
    <n v="15300"/>
    <n v="19125"/>
    <n v="17690625"/>
    <n v="14152500"/>
    <n v="3538125"/>
    <x v="141"/>
    <n v="0.2"/>
  </r>
  <r>
    <x v="3"/>
    <x v="6"/>
    <x v="6"/>
    <s v="None"/>
    <n v="1644"/>
    <n v="5100"/>
    <n v="6375"/>
    <n v="10480500"/>
    <n v="8384400"/>
    <n v="2096100"/>
    <x v="247"/>
    <n v="0.2"/>
  </r>
  <r>
    <x v="3"/>
    <x v="0"/>
    <x v="3"/>
    <s v="None"/>
    <n v="1057"/>
    <n v="8900"/>
    <n v="11125"/>
    <n v="11759125"/>
    <n v="9407300"/>
    <n v="2351825"/>
    <x v="248"/>
    <n v="0.2"/>
  </r>
  <r>
    <x v="3"/>
    <x v="4"/>
    <x v="6"/>
    <s v="None"/>
    <n v="2716"/>
    <n v="14800"/>
    <n v="18500"/>
    <n v="50246000"/>
    <n v="40196800"/>
    <n v="10049200"/>
    <x v="248"/>
    <n v="0.2"/>
  </r>
  <r>
    <x v="3"/>
    <x v="6"/>
    <x v="6"/>
    <s v="None"/>
    <n v="1869"/>
    <n v="10100"/>
    <n v="12625"/>
    <n v="23596125"/>
    <n v="18876900"/>
    <n v="4719225"/>
    <x v="250"/>
    <n v="0.2"/>
  </r>
  <r>
    <x v="3"/>
    <x v="0"/>
    <x v="9"/>
    <s v="None"/>
    <n v="1957"/>
    <n v="22900"/>
    <n v="28625"/>
    <n v="56019125"/>
    <n v="44815300"/>
    <n v="11203825"/>
    <x v="144"/>
    <n v="0.2"/>
  </r>
  <r>
    <x v="3"/>
    <x v="9"/>
    <x v="2"/>
    <s v="None"/>
    <n v="1569"/>
    <n v="20400"/>
    <n v="25500"/>
    <n v="40009500"/>
    <n v="32007600"/>
    <n v="8001900"/>
    <x v="144"/>
    <n v="0.2"/>
  </r>
  <r>
    <x v="3"/>
    <x v="4"/>
    <x v="3"/>
    <s v="None"/>
    <n v="184"/>
    <n v="7000"/>
    <n v="8750"/>
    <n v="1610000"/>
    <n v="1288000"/>
    <n v="322000"/>
    <x v="251"/>
    <n v="0.2"/>
  </r>
  <r>
    <x v="3"/>
    <x v="9"/>
    <x v="0"/>
    <s v="None"/>
    <n v="2835"/>
    <n v="14500"/>
    <n v="18125"/>
    <n v="51384375"/>
    <n v="41107500"/>
    <n v="10276875"/>
    <x v="306"/>
    <n v="0.2"/>
  </r>
  <r>
    <x v="3"/>
    <x v="4"/>
    <x v="3"/>
    <s v="None"/>
    <n v="2612"/>
    <n v="14400"/>
    <n v="18000"/>
    <n v="47016000"/>
    <n v="37612800"/>
    <n v="9403200"/>
    <x v="254"/>
    <n v="0.2"/>
  </r>
  <r>
    <x v="3"/>
    <x v="8"/>
    <x v="7"/>
    <s v="None"/>
    <n v="795"/>
    <n v="12300"/>
    <n v="15375"/>
    <n v="12223125"/>
    <n v="9778500"/>
    <n v="2444625"/>
    <x v="255"/>
    <n v="0.2"/>
  </r>
  <r>
    <x v="3"/>
    <x v="9"/>
    <x v="7"/>
    <s v="None"/>
    <n v="2417"/>
    <n v="2600"/>
    <n v="3250"/>
    <n v="7855250"/>
    <n v="6284200"/>
    <n v="1571050"/>
    <x v="256"/>
    <n v="0.2"/>
  </r>
  <r>
    <x v="3"/>
    <x v="5"/>
    <x v="2"/>
    <s v="None"/>
    <n v="600"/>
    <n v="5500"/>
    <n v="6875"/>
    <n v="4125000"/>
    <n v="3300000"/>
    <n v="825000"/>
    <x v="257"/>
    <n v="0.2"/>
  </r>
  <r>
    <x v="3"/>
    <x v="5"/>
    <x v="7"/>
    <s v="None"/>
    <n v="1173"/>
    <n v="19300"/>
    <n v="24125"/>
    <n v="28298625"/>
    <n v="22638900"/>
    <n v="5659725"/>
    <x v="257"/>
    <n v="0.2"/>
  </r>
  <r>
    <x v="3"/>
    <x v="4"/>
    <x v="0"/>
    <s v="None"/>
    <n v="2087"/>
    <n v="17800"/>
    <n v="22250"/>
    <n v="46435750"/>
    <n v="37148600"/>
    <n v="9287150"/>
    <x v="338"/>
    <n v="0.2"/>
  </r>
  <r>
    <x v="3"/>
    <x v="5"/>
    <x v="1"/>
    <s v="None"/>
    <n v="1195"/>
    <n v="23800"/>
    <n v="29750"/>
    <n v="35551250"/>
    <n v="28441000"/>
    <n v="7110250"/>
    <x v="147"/>
    <n v="0.2"/>
  </r>
  <r>
    <x v="3"/>
    <x v="8"/>
    <x v="2"/>
    <s v="None"/>
    <n v="2432"/>
    <n v="13300"/>
    <n v="16625"/>
    <n v="40432000"/>
    <n v="32345600"/>
    <n v="8086400"/>
    <x v="149"/>
    <n v="0.2"/>
  </r>
  <r>
    <x v="3"/>
    <x v="5"/>
    <x v="1"/>
    <s v="None"/>
    <n v="1603"/>
    <n v="10100"/>
    <n v="12625"/>
    <n v="20237875"/>
    <n v="16190300"/>
    <n v="4047575"/>
    <x v="150"/>
    <n v="0.2"/>
  </r>
  <r>
    <x v="3"/>
    <x v="6"/>
    <x v="3"/>
    <s v="None"/>
    <n v="2334"/>
    <n v="5700"/>
    <n v="7125"/>
    <n v="16629750"/>
    <n v="13303800"/>
    <n v="3325950"/>
    <x v="308"/>
    <n v="0.2"/>
  </r>
  <r>
    <x v="3"/>
    <x v="3"/>
    <x v="4"/>
    <s v="None"/>
    <n v="1784"/>
    <n v="21500"/>
    <n v="26875"/>
    <n v="47945000"/>
    <n v="38356000"/>
    <n v="9589000"/>
    <x v="308"/>
    <n v="0.2"/>
  </r>
  <r>
    <x v="3"/>
    <x v="0"/>
    <x v="2"/>
    <s v="None"/>
    <n v="1520"/>
    <n v="23200"/>
    <n v="29000"/>
    <n v="44080000"/>
    <n v="35264000"/>
    <n v="8816000"/>
    <x v="152"/>
    <n v="0.2"/>
  </r>
  <r>
    <x v="3"/>
    <x v="2"/>
    <x v="1"/>
    <s v="None"/>
    <n v="499"/>
    <n v="13500"/>
    <n v="16875"/>
    <n v="8420625"/>
    <n v="6736500"/>
    <n v="1684125"/>
    <x v="159"/>
    <n v="0.2"/>
  </r>
  <r>
    <x v="3"/>
    <x v="2"/>
    <x v="2"/>
    <s v="None"/>
    <n v="327"/>
    <n v="4200"/>
    <n v="5250"/>
    <n v="1716750"/>
    <n v="1373400"/>
    <n v="343350"/>
    <x v="339"/>
    <n v="0.2"/>
  </r>
  <r>
    <x v="3"/>
    <x v="6"/>
    <x v="1"/>
    <s v="None"/>
    <n v="2609"/>
    <n v="19000"/>
    <n v="23750"/>
    <n v="61963750"/>
    <n v="49571000"/>
    <n v="12392750"/>
    <x v="310"/>
    <n v="0.2"/>
  </r>
  <r>
    <x v="3"/>
    <x v="3"/>
    <x v="5"/>
    <s v="None"/>
    <n v="2983"/>
    <n v="22700"/>
    <n v="28375"/>
    <n v="84642625"/>
    <n v="67714100"/>
    <n v="16928525"/>
    <x v="164"/>
    <n v="0.2"/>
  </r>
  <r>
    <x v="3"/>
    <x v="2"/>
    <x v="4"/>
    <s v="None"/>
    <n v="1218"/>
    <n v="9800"/>
    <n v="12250"/>
    <n v="14920500"/>
    <n v="11936400"/>
    <n v="2984100"/>
    <x v="312"/>
    <n v="0.2"/>
  </r>
  <r>
    <x v="3"/>
    <x v="1"/>
    <x v="4"/>
    <s v="None"/>
    <n v="2407"/>
    <n v="12500"/>
    <n v="15625"/>
    <n v="37609375"/>
    <n v="30087500"/>
    <n v="7521875"/>
    <x v="313"/>
    <n v="0.2"/>
  </r>
  <r>
    <x v="3"/>
    <x v="2"/>
    <x v="0"/>
    <s v="None"/>
    <n v="269"/>
    <n v="2900"/>
    <n v="3625"/>
    <n v="975125"/>
    <n v="780100"/>
    <n v="195025"/>
    <x v="313"/>
    <n v="0.2"/>
  </r>
  <r>
    <x v="3"/>
    <x v="9"/>
    <x v="2"/>
    <s v="None"/>
    <n v="2542"/>
    <n v="23100"/>
    <n v="28875"/>
    <n v="73400250"/>
    <n v="58720200"/>
    <n v="14680050"/>
    <x v="165"/>
    <n v="0.2"/>
  </r>
  <r>
    <x v="3"/>
    <x v="0"/>
    <x v="0"/>
    <s v="None"/>
    <n v="697"/>
    <n v="2700"/>
    <n v="3375"/>
    <n v="2352375"/>
    <n v="1881900"/>
    <n v="470475"/>
    <x v="165"/>
    <n v="0.2"/>
  </r>
  <r>
    <x v="3"/>
    <x v="9"/>
    <x v="2"/>
    <s v="None"/>
    <n v="1882"/>
    <n v="16600"/>
    <n v="20750"/>
    <n v="39051500"/>
    <n v="31241200"/>
    <n v="7810300"/>
    <x v="260"/>
    <n v="0.2"/>
  </r>
  <r>
    <x v="3"/>
    <x v="7"/>
    <x v="9"/>
    <s v="None"/>
    <n v="2756"/>
    <n v="6400"/>
    <n v="8000"/>
    <n v="22048000"/>
    <n v="17638400"/>
    <n v="4409600"/>
    <x v="168"/>
    <n v="0.2"/>
  </r>
  <r>
    <x v="3"/>
    <x v="6"/>
    <x v="8"/>
    <s v="None"/>
    <n v="2307"/>
    <n v="17500"/>
    <n v="21875"/>
    <n v="50465625"/>
    <n v="40372500"/>
    <n v="10093125"/>
    <x v="169"/>
    <n v="0.2"/>
  </r>
  <r>
    <x v="3"/>
    <x v="9"/>
    <x v="7"/>
    <s v="None"/>
    <n v="2430"/>
    <n v="17200"/>
    <n v="21500"/>
    <n v="52245000"/>
    <n v="41796000"/>
    <n v="10449000"/>
    <x v="170"/>
    <n v="0.2"/>
  </r>
  <r>
    <x v="3"/>
    <x v="1"/>
    <x v="1"/>
    <s v="None"/>
    <n v="592"/>
    <n v="18900"/>
    <n v="23625"/>
    <n v="13986000"/>
    <n v="11188800"/>
    <n v="2797200"/>
    <x v="170"/>
    <n v="0.2"/>
  </r>
  <r>
    <x v="3"/>
    <x v="2"/>
    <x v="8"/>
    <s v="None"/>
    <n v="309"/>
    <n v="3900"/>
    <n v="4875"/>
    <n v="1506375"/>
    <n v="1205100"/>
    <n v="301275"/>
    <x v="340"/>
    <n v="0.2"/>
  </r>
  <r>
    <x v="3"/>
    <x v="7"/>
    <x v="7"/>
    <s v="None"/>
    <n v="2352"/>
    <n v="9000"/>
    <n v="11250"/>
    <n v="26460000"/>
    <n v="21168000"/>
    <n v="5292000"/>
    <x v="171"/>
    <n v="0.2"/>
  </r>
  <r>
    <x v="3"/>
    <x v="5"/>
    <x v="8"/>
    <s v="None"/>
    <n v="2300"/>
    <n v="20400"/>
    <n v="25500"/>
    <n v="58650000"/>
    <n v="46920000"/>
    <n v="11730000"/>
    <x v="171"/>
    <n v="0.2"/>
  </r>
  <r>
    <x v="3"/>
    <x v="1"/>
    <x v="3"/>
    <s v="None"/>
    <n v="2792"/>
    <n v="20100"/>
    <n v="25125"/>
    <n v="70149000"/>
    <n v="56119200"/>
    <n v="14029800"/>
    <x v="172"/>
    <n v="0.2"/>
  </r>
  <r>
    <x v="3"/>
    <x v="2"/>
    <x v="7"/>
    <s v="None"/>
    <n v="1367"/>
    <n v="13000"/>
    <n v="16250"/>
    <n v="22213750"/>
    <n v="17771000"/>
    <n v="4442750"/>
    <x v="172"/>
    <n v="0.2"/>
  </r>
  <r>
    <x v="3"/>
    <x v="6"/>
    <x v="3"/>
    <s v="None"/>
    <n v="723"/>
    <n v="16800"/>
    <n v="21000"/>
    <n v="15183000"/>
    <n v="12146400"/>
    <n v="3036600"/>
    <x v="172"/>
    <n v="0.2"/>
  </r>
  <r>
    <x v="3"/>
    <x v="5"/>
    <x v="1"/>
    <s v="None"/>
    <n v="2704"/>
    <n v="10900"/>
    <n v="13625"/>
    <n v="36842000"/>
    <n v="29473600"/>
    <n v="7368400"/>
    <x v="173"/>
    <n v="0.2"/>
  </r>
  <r>
    <x v="3"/>
    <x v="1"/>
    <x v="4"/>
    <s v="None"/>
    <n v="1700"/>
    <n v="18900"/>
    <n v="23625"/>
    <n v="40162500"/>
    <n v="32130000"/>
    <n v="8032500"/>
    <x v="173"/>
    <n v="0.2"/>
  </r>
  <r>
    <x v="3"/>
    <x v="7"/>
    <x v="3"/>
    <s v="None"/>
    <n v="816"/>
    <n v="21100"/>
    <n v="26375"/>
    <n v="21522000"/>
    <n v="17217600"/>
    <n v="4304400"/>
    <x v="174"/>
    <n v="0.2"/>
  </r>
  <r>
    <x v="3"/>
    <x v="4"/>
    <x v="8"/>
    <s v="None"/>
    <n v="1716"/>
    <n v="14000"/>
    <n v="17500"/>
    <n v="30030000"/>
    <n v="24024000"/>
    <n v="6006000"/>
    <x v="175"/>
    <n v="0.2"/>
  </r>
  <r>
    <x v="3"/>
    <x v="6"/>
    <x v="3"/>
    <s v="None"/>
    <n v="2735"/>
    <n v="13500"/>
    <n v="16875"/>
    <n v="46153125"/>
    <n v="36922500"/>
    <n v="9230625"/>
    <x v="262"/>
    <n v="0.2"/>
  </r>
  <r>
    <x v="3"/>
    <x v="3"/>
    <x v="5"/>
    <s v="None"/>
    <n v="2952"/>
    <n v="24600"/>
    <n v="30750"/>
    <n v="90774000"/>
    <n v="72619200"/>
    <n v="18154800"/>
    <x v="262"/>
    <n v="0.2"/>
  </r>
  <r>
    <x v="3"/>
    <x v="5"/>
    <x v="3"/>
    <s v="None"/>
    <n v="944"/>
    <n v="15300"/>
    <n v="19125"/>
    <n v="18054000"/>
    <n v="14443200"/>
    <n v="3610800"/>
    <x v="262"/>
    <n v="0.2"/>
  </r>
  <r>
    <x v="3"/>
    <x v="8"/>
    <x v="9"/>
    <s v="None"/>
    <n v="1621"/>
    <n v="21700"/>
    <n v="27125"/>
    <n v="43969625"/>
    <n v="35175700"/>
    <n v="8793925"/>
    <x v="262"/>
    <n v="0.2"/>
  </r>
  <r>
    <x v="3"/>
    <x v="5"/>
    <x v="2"/>
    <s v="None"/>
    <n v="747"/>
    <n v="24900"/>
    <n v="31125"/>
    <n v="23250375"/>
    <n v="18600300"/>
    <n v="4650075"/>
    <x v="176"/>
    <n v="0.2"/>
  </r>
  <r>
    <x v="3"/>
    <x v="0"/>
    <x v="1"/>
    <s v="None"/>
    <n v="2846"/>
    <n v="24200"/>
    <n v="30250"/>
    <n v="86091500"/>
    <n v="68873200"/>
    <n v="17218300"/>
    <x v="178"/>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F1FEB4-ECEB-48CA-9528-C063D3E4C7B3}" name="PivotTable5" cacheId="8"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7" rowHeaderCaption="Product Name">
  <location ref="E31:I44" firstHeaderRow="1" firstDataRow="2" firstDataCol="1"/>
  <pivotFields count="12">
    <pivotField axis="axisCol" showAll="0">
      <items count="5">
        <item x="0"/>
        <item x="1"/>
        <item x="2"/>
        <item x="3"/>
        <item t="default"/>
      </items>
    </pivotField>
    <pivotField showAll="0">
      <items count="11">
        <item x="2"/>
        <item x="7"/>
        <item x="3"/>
        <item x="1"/>
        <item x="9"/>
        <item x="8"/>
        <item x="4"/>
        <item x="0"/>
        <item x="5"/>
        <item x="6"/>
        <item t="default"/>
      </items>
    </pivotField>
    <pivotField showAll="0">
      <items count="11">
        <item x="7"/>
        <item x="3"/>
        <item x="9"/>
        <item x="0"/>
        <item x="4"/>
        <item x="8"/>
        <item x="5"/>
        <item x="6"/>
        <item x="2"/>
        <item x="1"/>
        <item t="default"/>
      </items>
    </pivotField>
    <pivotField showAll="0"/>
    <pivotField dataField="1" numFmtId="165" showAll="0"/>
    <pivotField numFmtId="166" showAll="0"/>
    <pivotField numFmtId="166" showAll="0"/>
    <pivotField numFmtId="166" showAll="0"/>
    <pivotField numFmtId="166" showAll="0"/>
    <pivotField numFmtId="166" showAll="0"/>
    <pivotField axis="axisRow" numFmtId="167" showAll="0">
      <items count="15">
        <item x="0"/>
        <item x="1"/>
        <item x="2"/>
        <item x="3"/>
        <item x="4"/>
        <item x="5"/>
        <item x="6"/>
        <item x="7"/>
        <item x="8"/>
        <item x="9"/>
        <item x="10"/>
        <item x="11"/>
        <item x="12"/>
        <item x="13"/>
        <item t="default"/>
      </items>
    </pivotField>
    <pivotField numFmtId="9" showAll="0"/>
  </pivotFields>
  <rowFields count="1">
    <field x="10"/>
  </rowFields>
  <rowItems count="12">
    <i>
      <x v="1"/>
    </i>
    <i>
      <x v="2"/>
    </i>
    <i>
      <x v="3"/>
    </i>
    <i>
      <x v="4"/>
    </i>
    <i>
      <x v="5"/>
    </i>
    <i>
      <x v="6"/>
    </i>
    <i>
      <x v="7"/>
    </i>
    <i>
      <x v="8"/>
    </i>
    <i>
      <x v="9"/>
    </i>
    <i>
      <x v="10"/>
    </i>
    <i>
      <x v="11"/>
    </i>
    <i>
      <x v="12"/>
    </i>
  </rowItems>
  <colFields count="1">
    <field x="0"/>
  </colFields>
  <colItems count="4">
    <i>
      <x/>
    </i>
    <i>
      <x v="1"/>
    </i>
    <i>
      <x v="2"/>
    </i>
    <i>
      <x v="3"/>
    </i>
  </colItems>
  <dataFields count="1">
    <dataField name="Sum of Units Sold" fld="4" baseField="0" baseItem="0" numFmtId="171"/>
  </dataFields>
  <formats count="1">
    <format dxfId="24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8" series="1">
      <pivotArea type="data" outline="0" fieldPosition="0">
        <references count="2">
          <reference field="4294967294" count="1" selected="0">
            <x v="0"/>
          </reference>
          <reference field="0" count="1" selected="0">
            <x v="0"/>
          </reference>
        </references>
      </pivotArea>
    </chartFormat>
    <chartFormat chart="6" format="9" series="1">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2">
          <reference field="4294967294" count="1" selected="0">
            <x v="0"/>
          </reference>
          <reference field="0" count="1" selected="0">
            <x v="2"/>
          </reference>
        </references>
      </pivotArea>
    </chartFormat>
    <chartFormat chart="6" format="11" series="1">
      <pivotArea type="data" outline="0" fieldPosition="0">
        <references count="2">
          <reference field="4294967294" count="1" selected="0">
            <x v="0"/>
          </reference>
          <reference field="0" count="1" selected="0">
            <x v="3"/>
          </reference>
        </references>
      </pivotArea>
    </chartFormat>
    <chartFormat chart="6" format="12">
      <pivotArea type="data" outline="0" fieldPosition="0">
        <references count="3">
          <reference field="4294967294" count="1" selected="0">
            <x v="0"/>
          </reference>
          <reference field="0" count="1" selected="0">
            <x v="1"/>
          </reference>
          <reference field="10" count="1" selected="0">
            <x v="1"/>
          </reference>
        </references>
      </pivotArea>
    </chartFormat>
    <chartFormat chart="6" format="13"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DE4600-7BC5-4DCE-8A1F-0F750B11CCA3}" name="PivotTable4" cacheId="8"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4" rowHeaderCaption="Product Name">
  <location ref="A31:B43" firstHeaderRow="1" firstDataRow="1" firstDataCol="1"/>
  <pivotFields count="12">
    <pivotField showAll="0">
      <items count="5">
        <item x="0"/>
        <item x="1"/>
        <item x="2"/>
        <item x="3"/>
        <item t="default"/>
      </items>
    </pivotField>
    <pivotField showAll="0">
      <items count="11">
        <item x="2"/>
        <item x="7"/>
        <item x="3"/>
        <item x="1"/>
        <item x="9"/>
        <item x="8"/>
        <item x="4"/>
        <item x="0"/>
        <item x="5"/>
        <item x="6"/>
        <item t="default"/>
      </items>
    </pivotField>
    <pivotField showAll="0">
      <items count="11">
        <item x="7"/>
        <item x="3"/>
        <item x="9"/>
        <item x="0"/>
        <item x="4"/>
        <item x="8"/>
        <item x="5"/>
        <item x="6"/>
        <item x="2"/>
        <item x="1"/>
        <item t="default"/>
      </items>
    </pivotField>
    <pivotField showAll="0"/>
    <pivotField dataField="1" numFmtId="165" showAll="0"/>
    <pivotField numFmtId="166" showAll="0"/>
    <pivotField numFmtId="166" showAll="0"/>
    <pivotField numFmtId="166" showAll="0"/>
    <pivotField numFmtId="166" showAll="0"/>
    <pivotField numFmtId="166" showAll="0"/>
    <pivotField axis="axisRow" numFmtId="167" showAll="0">
      <items count="15">
        <item x="0"/>
        <item x="1"/>
        <item x="2"/>
        <item x="3"/>
        <item x="4"/>
        <item x="5"/>
        <item x="6"/>
        <item x="7"/>
        <item x="8"/>
        <item x="9"/>
        <item x="10"/>
        <item x="11"/>
        <item x="12"/>
        <item x="13"/>
        <item t="default"/>
      </items>
    </pivotField>
    <pivotField numFmtId="9" showAll="0"/>
  </pivotFields>
  <rowFields count="1">
    <field x="10"/>
  </rowFields>
  <rowItems count="12">
    <i>
      <x v="1"/>
    </i>
    <i>
      <x v="2"/>
    </i>
    <i>
      <x v="3"/>
    </i>
    <i>
      <x v="4"/>
    </i>
    <i>
      <x v="5"/>
    </i>
    <i>
      <x v="6"/>
    </i>
    <i>
      <x v="7"/>
    </i>
    <i>
      <x v="8"/>
    </i>
    <i>
      <x v="9"/>
    </i>
    <i>
      <x v="10"/>
    </i>
    <i>
      <x v="11"/>
    </i>
    <i>
      <x v="12"/>
    </i>
  </rowItems>
  <colItems count="1">
    <i/>
  </colItems>
  <dataFields count="1">
    <dataField name="Sum of Units Sold" fld="4" baseField="0" baseItem="0" numFmtId="171"/>
  </dataFields>
  <formats count="1">
    <format dxfId="24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40FE1A-0A64-4ACA-A5EC-F68C38A0E089}" name="PivotTable3" cacheId="8"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rowHeaderCaption="Product Name">
  <location ref="A18:B28" firstHeaderRow="1" firstDataRow="1" firstDataCol="1"/>
  <pivotFields count="12">
    <pivotField showAll="0">
      <items count="5">
        <item x="0"/>
        <item x="1"/>
        <item x="2"/>
        <item x="3"/>
        <item t="default"/>
      </items>
    </pivotField>
    <pivotField axis="axisRow" showAll="0">
      <items count="11">
        <item x="2"/>
        <item x="7"/>
        <item x="3"/>
        <item x="1"/>
        <item x="9"/>
        <item x="8"/>
        <item x="4"/>
        <item x="0"/>
        <item x="5"/>
        <item x="6"/>
        <item t="default"/>
      </items>
    </pivotField>
    <pivotField showAll="0">
      <items count="11">
        <item x="7"/>
        <item x="3"/>
        <item x="9"/>
        <item x="0"/>
        <item x="4"/>
        <item x="8"/>
        <item x="5"/>
        <item x="6"/>
        <item x="2"/>
        <item x="1"/>
        <item t="default"/>
      </items>
    </pivotField>
    <pivotField showAll="0"/>
    <pivotField dataField="1" numFmtId="165" showAll="0"/>
    <pivotField numFmtId="166" showAll="0"/>
    <pivotField numFmtId="166" showAll="0"/>
    <pivotField numFmtId="166" showAll="0"/>
    <pivotField numFmtId="166" showAll="0"/>
    <pivotField numFmtId="166" showAll="0"/>
    <pivotField numFmtId="167" showAll="0">
      <items count="15">
        <item x="0"/>
        <item x="1"/>
        <item x="2"/>
        <item x="3"/>
        <item x="4"/>
        <item x="5"/>
        <item x="6"/>
        <item x="7"/>
        <item x="8"/>
        <item x="9"/>
        <item x="10"/>
        <item x="11"/>
        <item x="12"/>
        <item x="13"/>
        <item t="default"/>
      </items>
    </pivotField>
    <pivotField numFmtId="9" showAll="0"/>
  </pivotFields>
  <rowFields count="1">
    <field x="1"/>
  </rowFields>
  <rowItems count="10">
    <i>
      <x/>
    </i>
    <i>
      <x v="1"/>
    </i>
    <i>
      <x v="2"/>
    </i>
    <i>
      <x v="3"/>
    </i>
    <i>
      <x v="4"/>
    </i>
    <i>
      <x v="5"/>
    </i>
    <i>
      <x v="6"/>
    </i>
    <i>
      <x v="7"/>
    </i>
    <i>
      <x v="8"/>
    </i>
    <i>
      <x v="9"/>
    </i>
  </rowItems>
  <colItems count="1">
    <i/>
  </colItems>
  <dataFields count="1">
    <dataField name="Sum of Units Sold" fld="4" baseField="0" baseItem="0" numFmtId="169"/>
  </dataFields>
  <formats count="1">
    <format dxfId="243">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3D6153-9F84-44E6-A709-8BAF1993A363}" name="PivotTable2" cacheId="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rowHeaderCaption="Product Name">
  <location ref="F3:I4" firstHeaderRow="0" firstDataRow="1" firstDataCol="0"/>
  <pivotFields count="12">
    <pivotField showAll="0">
      <items count="5">
        <item x="0"/>
        <item x="1"/>
        <item x="2"/>
        <item x="3"/>
        <item t="default"/>
      </items>
    </pivotField>
    <pivotField showAll="0">
      <items count="11">
        <item x="2"/>
        <item x="7"/>
        <item x="3"/>
        <item x="1"/>
        <item x="9"/>
        <item x="8"/>
        <item x="4"/>
        <item x="0"/>
        <item x="5"/>
        <item x="6"/>
        <item t="default"/>
      </items>
    </pivotField>
    <pivotField showAll="0" sortType="descending">
      <items count="11">
        <item x="7"/>
        <item x="3"/>
        <item x="9"/>
        <item x="0"/>
        <item x="4"/>
        <item x="8"/>
        <item x="5"/>
        <item x="6"/>
        <item x="2"/>
        <item x="1"/>
        <item t="default"/>
      </items>
      <autoSortScope>
        <pivotArea dataOnly="0" outline="0" fieldPosition="0">
          <references count="1">
            <reference field="4294967294" count="1" selected="0">
              <x v="3"/>
            </reference>
          </references>
        </pivotArea>
      </autoSortScope>
    </pivotField>
    <pivotField showAll="0"/>
    <pivotField dataField="1" numFmtId="165" showAll="0"/>
    <pivotField numFmtId="166" showAll="0"/>
    <pivotField numFmtId="166" showAll="0"/>
    <pivotField dataField="1" numFmtId="166" showAll="0"/>
    <pivotField dataField="1" numFmtId="166" showAll="0"/>
    <pivotField dataField="1" numFmtId="166" showAll="0"/>
    <pivotField numFmtId="167" showAll="0">
      <items count="15">
        <item x="0"/>
        <item x="1"/>
        <item x="2"/>
        <item x="3"/>
        <item x="4"/>
        <item x="5"/>
        <item x="6"/>
        <item x="7"/>
        <item x="8"/>
        <item x="9"/>
        <item x="10"/>
        <item x="11"/>
        <item x="12"/>
        <item x="13"/>
        <item t="default"/>
      </items>
    </pivotField>
    <pivotField numFmtId="9" showAll="0"/>
  </pivotFields>
  <rowItems count="1">
    <i/>
  </rowItems>
  <colFields count="1">
    <field x="-2"/>
  </colFields>
  <colItems count="4">
    <i>
      <x/>
    </i>
    <i i="1">
      <x v="1"/>
    </i>
    <i i="2">
      <x v="2"/>
    </i>
    <i i="3">
      <x v="3"/>
    </i>
  </colItems>
  <dataFields count="4">
    <dataField name="Sum of Sales" fld="7" baseField="0" baseItem="0"/>
    <dataField name="Sum of Units Sold" fld="4" baseField="0" baseItem="0"/>
    <dataField name="Sum of COGS" fld="8" baseField="0" baseItem="0"/>
    <dataField name="Sum of Profit" fld="9" baseField="0" baseItem="0"/>
  </dataFields>
  <formats count="1">
    <format dxfId="247">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A57CB0-A013-4188-959A-04EEC49CD650}" name="PivotTable1" cacheId="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rowHeaderCaption="Product Name">
  <location ref="A3:D14" firstHeaderRow="0" firstDataRow="1" firstDataCol="1"/>
  <pivotFields count="12">
    <pivotField showAll="0">
      <items count="5">
        <item x="0"/>
        <item x="1"/>
        <item x="2"/>
        <item x="3"/>
        <item t="default"/>
      </items>
    </pivotField>
    <pivotField showAll="0">
      <items count="11">
        <item x="2"/>
        <item x="7"/>
        <item x="3"/>
        <item x="1"/>
        <item x="9"/>
        <item x="8"/>
        <item x="4"/>
        <item x="0"/>
        <item x="5"/>
        <item x="6"/>
        <item t="default"/>
      </items>
    </pivotField>
    <pivotField axis="axisRow" showAll="0" sortType="descending">
      <items count="11">
        <item x="7"/>
        <item x="3"/>
        <item x="9"/>
        <item x="0"/>
        <item x="4"/>
        <item x="8"/>
        <item x="5"/>
        <item x="6"/>
        <item x="2"/>
        <item x="1"/>
        <item t="default"/>
      </items>
      <autoSortScope>
        <pivotArea dataOnly="0" outline="0" fieldPosition="0">
          <references count="1">
            <reference field="4294967294" count="1" selected="0">
              <x v="2"/>
            </reference>
          </references>
        </pivotArea>
      </autoSortScope>
    </pivotField>
    <pivotField showAll="0"/>
    <pivotField numFmtId="165" showAll="0"/>
    <pivotField numFmtId="166" showAll="0"/>
    <pivotField numFmtId="166" showAll="0"/>
    <pivotField dataField="1" numFmtId="166" showAll="0"/>
    <pivotField dataField="1" numFmtId="166" showAll="0"/>
    <pivotField dataField="1" numFmtId="166" showAll="0"/>
    <pivotField numFmtId="167" showAll="0">
      <items count="15">
        <item x="0"/>
        <item x="1"/>
        <item x="2"/>
        <item x="3"/>
        <item x="4"/>
        <item x="5"/>
        <item x="6"/>
        <item x="7"/>
        <item x="8"/>
        <item x="9"/>
        <item x="10"/>
        <item x="11"/>
        <item x="12"/>
        <item x="13"/>
        <item t="default"/>
      </items>
    </pivotField>
    <pivotField numFmtId="9" showAll="0"/>
  </pivotFields>
  <rowFields count="1">
    <field x="2"/>
  </rowFields>
  <rowItems count="11">
    <i>
      <x v="9"/>
    </i>
    <i>
      <x v="5"/>
    </i>
    <i>
      <x v="2"/>
    </i>
    <i>
      <x/>
    </i>
    <i>
      <x v="1"/>
    </i>
    <i>
      <x v="4"/>
    </i>
    <i>
      <x v="7"/>
    </i>
    <i>
      <x v="8"/>
    </i>
    <i>
      <x v="3"/>
    </i>
    <i>
      <x v="6"/>
    </i>
    <i t="grand">
      <x/>
    </i>
  </rowItems>
  <colFields count="1">
    <field x="-2"/>
  </colFields>
  <colItems count="3">
    <i>
      <x/>
    </i>
    <i i="1">
      <x v="1"/>
    </i>
    <i i="2">
      <x v="2"/>
    </i>
  </colItems>
  <dataFields count="3">
    <dataField name="Sum of Sales" fld="7" baseField="0" baseItem="0"/>
    <dataField name="Sum of COGS" fld="8" baseField="0" baseItem="0"/>
    <dataField name="Sum of Profit" fld="9" baseField="0" baseItem="0"/>
  </dataFields>
  <formats count="1">
    <format dxfId="246">
      <pivotArea outline="0" collapsedLevelsAreSubtotals="1" fieldPosition="0"/>
    </format>
  </formats>
  <conditionalFormats count="1">
    <conditionalFormat priority="3">
      <pivotAreas count="1">
        <pivotArea type="data" collapsedLevelsAreSubtotals="1" fieldPosition="0">
          <references count="2">
            <reference field="4294967294" count="1" selected="0">
              <x v="2"/>
            </reference>
            <reference field="2" count="10">
              <x v="0"/>
              <x v="1"/>
              <x v="2"/>
              <x v="3"/>
              <x v="4"/>
              <x v="5"/>
              <x v="6"/>
              <x v="7"/>
              <x v="8"/>
              <x v="9"/>
            </reference>
          </references>
        </pivotArea>
      </pivotAreas>
    </conditionalFormat>
  </conditional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4F7F4B-5745-4D99-A810-B7AF27EC6964}" name="PivotTable1" cacheId="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rowHeaderCaption="Product Name">
  <location ref="E10:H21" firstHeaderRow="0" firstDataRow="1" firstDataCol="1"/>
  <pivotFields count="12">
    <pivotField showAll="0">
      <items count="5">
        <item x="0"/>
        <item x="1"/>
        <item x="2"/>
        <item x="3"/>
        <item t="default"/>
      </items>
    </pivotField>
    <pivotField showAll="0">
      <items count="11">
        <item x="2"/>
        <item x="7"/>
        <item x="3"/>
        <item x="1"/>
        <item x="9"/>
        <item x="8"/>
        <item x="4"/>
        <item x="0"/>
        <item x="5"/>
        <item x="6"/>
        <item t="default"/>
      </items>
    </pivotField>
    <pivotField axis="axisRow" showAll="0" sortType="descending">
      <items count="11">
        <item x="7"/>
        <item x="3"/>
        <item x="9"/>
        <item x="0"/>
        <item x="4"/>
        <item x="8"/>
        <item x="5"/>
        <item x="6"/>
        <item x="2"/>
        <item x="1"/>
        <item t="default"/>
      </items>
      <autoSortScope>
        <pivotArea dataOnly="0" outline="0" fieldPosition="0">
          <references count="1">
            <reference field="4294967294" count="1" selected="0">
              <x v="2"/>
            </reference>
          </references>
        </pivotArea>
      </autoSortScope>
    </pivotField>
    <pivotField showAll="0"/>
    <pivotField numFmtId="165" showAll="0"/>
    <pivotField numFmtId="166" showAll="0"/>
    <pivotField numFmtId="166" showAll="0"/>
    <pivotField dataField="1" numFmtId="166" showAll="0"/>
    <pivotField dataField="1" numFmtId="166" showAll="0"/>
    <pivotField dataField="1" numFmtId="166" showAll="0"/>
    <pivotField numFmtId="167" showAll="0">
      <items count="15">
        <item x="0"/>
        <item x="1"/>
        <item x="2"/>
        <item x="3"/>
        <item x="4"/>
        <item x="5"/>
        <item x="6"/>
        <item x="7"/>
        <item x="8"/>
        <item x="9"/>
        <item x="10"/>
        <item x="11"/>
        <item x="12"/>
        <item x="13"/>
        <item t="default"/>
      </items>
    </pivotField>
    <pivotField numFmtId="9" showAll="0"/>
  </pivotFields>
  <rowFields count="1">
    <field x="2"/>
  </rowFields>
  <rowItems count="11">
    <i>
      <x v="9"/>
    </i>
    <i>
      <x v="5"/>
    </i>
    <i>
      <x v="2"/>
    </i>
    <i>
      <x/>
    </i>
    <i>
      <x v="1"/>
    </i>
    <i>
      <x v="4"/>
    </i>
    <i>
      <x v="7"/>
    </i>
    <i>
      <x v="8"/>
    </i>
    <i>
      <x v="3"/>
    </i>
    <i>
      <x v="6"/>
    </i>
    <i t="grand">
      <x/>
    </i>
  </rowItems>
  <colFields count="1">
    <field x="-2"/>
  </colFields>
  <colItems count="3">
    <i>
      <x/>
    </i>
    <i i="1">
      <x v="1"/>
    </i>
    <i i="2">
      <x v="2"/>
    </i>
  </colItems>
  <dataFields count="3">
    <dataField name="Sum of Sales" fld="7" baseField="0" baseItem="0"/>
    <dataField name="Sum of COGS" fld="8" baseField="0" baseItem="0"/>
    <dataField name="Sum of Profit" fld="9" baseField="0" baseItem="0"/>
  </dataFields>
  <formats count="3">
    <format dxfId="248">
      <pivotArea outline="0" collapsedLevelsAreSubtotals="1" fieldPosition="0"/>
    </format>
    <format dxfId="245">
      <pivotArea grandRow="1" outline="0" collapsedLevelsAreSubtotals="1" fieldPosition="0"/>
    </format>
    <format dxfId="244">
      <pivotArea dataOnly="0" labelOnly="1" grandRow="1" outline="0" fieldPosition="0"/>
    </format>
  </formats>
  <conditionalFormats count="1">
    <conditionalFormat priority="1">
      <pivotAreas count="1">
        <pivotArea type="data" collapsedLevelsAreSubtotals="1" fieldPosition="0">
          <references count="2">
            <reference field="4294967294" count="1" selected="0">
              <x v="2"/>
            </reference>
            <reference field="2" count="10">
              <x v="0"/>
              <x v="1"/>
              <x v="2"/>
              <x v="3"/>
              <x v="4"/>
              <x v="5"/>
              <x v="6"/>
              <x v="7"/>
              <x v="8"/>
              <x v="9"/>
            </reference>
          </references>
        </pivotArea>
      </pivotAreas>
    </conditionalFormat>
  </conditional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DE0E67-3BBA-4BCC-B02A-F8D493751737}" name="PivotTable1" cacheId="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E10:G27" firstHeaderRow="1" firstDataRow="1" firstDataCol="0"/>
  <pivotFields count="12">
    <pivotField showAll="0">
      <items count="5">
        <item x="0"/>
        <item x="1"/>
        <item x="2"/>
        <item x="3"/>
        <item t="default"/>
      </items>
    </pivotField>
    <pivotField showAll="0">
      <items count="11">
        <item x="2"/>
        <item x="7"/>
        <item x="3"/>
        <item x="1"/>
        <item x="9"/>
        <item x="8"/>
        <item x="4"/>
        <item x="0"/>
        <item x="5"/>
        <item x="6"/>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C5CF74B4-7833-4117-9BBB-AB78F6B70610}" sourceName="Segment">
  <pivotTables>
    <pivotTable tabId="7" name="PivotTable1"/>
    <pivotTable tabId="3" name="PivotTable5"/>
    <pivotTable tabId="3" name="PivotTable4"/>
    <pivotTable tabId="3" name="PivotTable3"/>
    <pivotTable tabId="3" name="PivotTable2"/>
    <pivotTable tabId="3" name="PivotTable1"/>
    <pivotTable tabId="4" name="PivotTable1"/>
  </pivotTables>
  <data>
    <tabular pivotCacheId="132333390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8D58DEFB-4158-494F-A290-224D291F9A5D}" sourceName="Country">
  <pivotTables>
    <pivotTable tabId="7" name="PivotTable1"/>
    <pivotTable tabId="3" name="PivotTable5"/>
    <pivotTable tabId="3" name="PivotTable4"/>
    <pivotTable tabId="3" name="PivotTable3"/>
    <pivotTable tabId="3" name="PivotTable2"/>
    <pivotTable tabId="3" name="PivotTable1"/>
    <pivotTable tabId="4" name="PivotTable1"/>
  </pivotTables>
  <data>
    <tabular pivotCacheId="1323333900">
      <items count="10">
        <i x="2" s="1"/>
        <i x="7" s="1"/>
        <i x="3" s="1"/>
        <i x="1" s="1"/>
        <i x="9" s="1"/>
        <i x="8" s="1"/>
        <i x="4" s="1"/>
        <i x="0"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49D9B6A-F6CB-4348-A11F-A3CC749D2AD3}" cache="Slicer_Segment1" caption="Segment" style="SlicerStyleDark1" rowHeight="241300"/>
  <slicer name="Country" xr10:uid="{6701FB9C-1B65-4499-9479-84C84DAEFFBC}" cache="Slicer_Country1" caption="Country"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47E4C34-D257-4796-8C5D-2AD990B17241}" cache="Slicer_Segment1" caption="Segment" style="SlicerStyleDark1" rowHeight="241300"/>
  <slicer name="Country 1" xr10:uid="{BB69EFEC-0305-4A01-9ADF-0DBC4F5B53CC}" cache="Slicer_Country1" caption="Country"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302D59-A243-4D19-845D-2F8FCCE442E4}" name="Table1" displayName="Table1" ref="A1:L1001" totalsRowShown="0" headerRowDxfId="256">
  <autoFilter ref="A1:L1001" xr:uid="{00000000-0001-0000-0000-000000000000}"/>
  <sortState xmlns:xlrd2="http://schemas.microsoft.com/office/spreadsheetml/2017/richdata2" ref="A2:K1001">
    <sortCondition ref="A1:A1001"/>
  </sortState>
  <tableColumns count="12">
    <tableColumn id="1" xr3:uid="{35B57D6D-406D-4112-91FA-7F7AE8FD0F35}" name="Segment"/>
    <tableColumn id="2" xr3:uid="{F20CACFD-673E-41DD-A5EA-0F948E3C5EAF}" name="Country"/>
    <tableColumn id="3" xr3:uid="{E3664F1F-481C-4FA9-B84F-0C2654995E44}" name="Product"/>
    <tableColumn id="4" xr3:uid="{E37E5F90-FA30-42C3-9C0D-9FAA28D7B50E}" name="Discount Band"/>
    <tableColumn id="5" xr3:uid="{A6ACDC93-3427-41A4-93F2-DBD91D7F69CD}" name="Units Sold" dataDxfId="255" dataCellStyle="Comma"/>
    <tableColumn id="6" xr3:uid="{8F994EC4-03FD-4782-A9EC-03EF2765FD01}" name="Manufacturing Price" dataDxfId="254"/>
    <tableColumn id="7" xr3:uid="{9820BAC3-1802-4EF9-9CCF-362BCA3F5AD5}" name="Sale Price" dataDxfId="253">
      <calculatedColumnFormula>ROUNDDOWN(F2/100,0)*100*1.25</calculatedColumnFormula>
    </tableColumn>
    <tableColumn id="8" xr3:uid="{AA01E401-2F41-427D-AD74-8E98E3F8F9D5}" name="Sales" dataDxfId="252">
      <calculatedColumnFormula>E2*G2</calculatedColumnFormula>
    </tableColumn>
    <tableColumn id="9" xr3:uid="{33CDEAB0-8DEF-4B24-8022-C3541663316E}" name="COGS" dataDxfId="251">
      <calculatedColumnFormula>E2*F2</calculatedColumnFormula>
    </tableColumn>
    <tableColumn id="10" xr3:uid="{421C88FC-7ADC-458F-9149-88DF7093589D}" name="Profit" dataDxfId="250">
      <calculatedColumnFormula>H2-I2</calculatedColumnFormula>
    </tableColumn>
    <tableColumn id="11" xr3:uid="{84865669-E94F-4BB4-BBE1-41EE9A2388EC}" name="Date" dataDxfId="249"/>
    <tableColumn id="12" xr3:uid="{6F83E879-414B-44F3-B86B-C9742EBA37BB}" name="%Profit" dataCellStyle="Percent">
      <calculatedColumnFormula>Table1[[#This Row],[Profit]]/Table1[[#This Row],[Sales]]</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758924EB-D714-4293-B34B-AF0AA4867385}" sourceName="Date">
  <pivotTables>
    <pivotTable tabId="7" name="PivotTable1"/>
    <pivotTable tabId="3" name="PivotTable5"/>
    <pivotTable tabId="3" name="PivotTable4"/>
    <pivotTable tabId="3" name="PivotTable3"/>
    <pivotTable tabId="3" name="PivotTable2"/>
    <pivotTable tabId="3" name="PivotTable1"/>
    <pivotTable tabId="4" name="PivotTable1"/>
  </pivotTables>
  <state minimalRefreshVersion="6" lastRefreshVersion="6" pivotCacheId="1323333900" filterType="unknown">
    <bounds startDate="2025-01-01T00:00:00" endDate="203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93DCF4B-D255-4461-848F-B5424DDF6B12}" cache="NativeTimeline_Date1" caption="Date" level="3" selectionLevel="3" scrollPosition="2025-06-05T00:00:00" style="TimeSlicerStyleDark1"/>
  <timeline name="Date" xr10:uid="{5ECF968E-C776-435C-8063-936385B25C10}" cache="NativeTimeline_Date1" caption="Date" level="2" selectionLevel="2" scrollPosition="2025-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C1F836E1-80F7-425A-90CE-BCA2217E8D87}" cache="NativeTimeline_Date1" caption="Date" level="2" selectionLevel="2" scrollPosition="2025-01-01T00:00:00" style="TimeSlicerStyleDark1"/>
  <timeline name="Date 3" xr10:uid="{90817854-47A5-440E-9FA9-77D2914DA59F}" cache="NativeTimeline_Date1" caption="Date" level="3" selectionLevel="3" scrollPosition="2025-06-05T00:00:00" style="TimeSlicerStyleDark1"/>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7.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3DD41-7E5F-4C80-AA23-8B2BAA476B72}">
  <dimension ref="A1:K51"/>
  <sheetViews>
    <sheetView workbookViewId="0">
      <selection activeCell="K8" sqref="K8"/>
    </sheetView>
  </sheetViews>
  <sheetFormatPr defaultRowHeight="14.25"/>
  <sheetData>
    <row r="1" spans="1:11">
      <c r="A1" t="s">
        <v>0</v>
      </c>
      <c r="B1" t="s">
        <v>1</v>
      </c>
      <c r="C1" t="s">
        <v>2</v>
      </c>
      <c r="D1" t="s">
        <v>3</v>
      </c>
      <c r="E1" t="s">
        <v>4</v>
      </c>
      <c r="F1" t="s">
        <v>5</v>
      </c>
      <c r="G1" t="s">
        <v>6</v>
      </c>
      <c r="H1" t="s">
        <v>7</v>
      </c>
      <c r="I1" t="s">
        <v>8</v>
      </c>
      <c r="J1" t="s">
        <v>9</v>
      </c>
      <c r="K1" s="4" t="s">
        <v>10</v>
      </c>
    </row>
    <row r="2" spans="1:11">
      <c r="A2" s="1" t="s">
        <v>11</v>
      </c>
      <c r="B2" s="1" t="s">
        <v>12</v>
      </c>
      <c r="C2" t="s">
        <v>13</v>
      </c>
      <c r="D2" s="1" t="s">
        <v>14</v>
      </c>
      <c r="E2">
        <v>1396</v>
      </c>
      <c r="F2" s="1">
        <v>11900</v>
      </c>
      <c r="G2" s="1">
        <f>ROUNDDOWN(F2/100,0)*100*1.25</f>
        <v>14875</v>
      </c>
      <c r="H2">
        <f>E2*G2</f>
        <v>20765500</v>
      </c>
      <c r="I2" s="1">
        <f>E2*F2</f>
        <v>16612400</v>
      </c>
      <c r="J2">
        <f>H2-I2</f>
        <v>4153100</v>
      </c>
      <c r="K2" s="6" t="s">
        <v>15</v>
      </c>
    </row>
    <row r="3" spans="1:11">
      <c r="A3" t="s">
        <v>11</v>
      </c>
      <c r="B3" t="s">
        <v>16</v>
      </c>
      <c r="C3" s="1" t="s">
        <v>17</v>
      </c>
      <c r="D3" s="1" t="s">
        <v>14</v>
      </c>
      <c r="E3">
        <v>657</v>
      </c>
      <c r="F3" s="1">
        <v>16100</v>
      </c>
      <c r="G3" s="1">
        <f t="shared" ref="G3:G51" si="0">ROUNDDOWN(F3/100,0)*100*1.25</f>
        <v>20125</v>
      </c>
      <c r="H3">
        <f t="shared" ref="H3:H51" si="1">E3*G3</f>
        <v>13222125</v>
      </c>
      <c r="I3" s="1">
        <f t="shared" ref="I3:I51" si="2">E3*F3</f>
        <v>10577700</v>
      </c>
      <c r="J3">
        <f t="shared" ref="J3:J51" si="3">H3-I3</f>
        <v>2644425</v>
      </c>
      <c r="K3" s="5" t="s">
        <v>18</v>
      </c>
    </row>
    <row r="4" spans="1:11">
      <c r="A4" s="1" t="s">
        <v>19</v>
      </c>
      <c r="B4" s="2" t="s">
        <v>20</v>
      </c>
      <c r="C4" t="s">
        <v>21</v>
      </c>
      <c r="D4" s="1" t="s">
        <v>14</v>
      </c>
      <c r="E4" s="1">
        <v>124</v>
      </c>
      <c r="F4" s="1">
        <v>4100</v>
      </c>
      <c r="G4" s="1">
        <f t="shared" si="0"/>
        <v>5125</v>
      </c>
      <c r="H4">
        <f t="shared" si="1"/>
        <v>635500</v>
      </c>
      <c r="I4" s="1">
        <f t="shared" si="2"/>
        <v>508400</v>
      </c>
      <c r="J4">
        <f t="shared" si="3"/>
        <v>127100</v>
      </c>
      <c r="K4" s="4" t="s">
        <v>22</v>
      </c>
    </row>
    <row r="5" spans="1:11">
      <c r="A5" t="s">
        <v>23</v>
      </c>
      <c r="B5" s="1" t="s">
        <v>24</v>
      </c>
      <c r="C5" t="s">
        <v>21</v>
      </c>
      <c r="D5" t="s">
        <v>14</v>
      </c>
      <c r="E5">
        <v>2944</v>
      </c>
      <c r="F5">
        <v>12700</v>
      </c>
      <c r="G5" s="1">
        <f t="shared" si="0"/>
        <v>15875</v>
      </c>
      <c r="H5">
        <f t="shared" si="1"/>
        <v>46736000</v>
      </c>
      <c r="I5" s="1">
        <f t="shared" si="2"/>
        <v>37388800</v>
      </c>
      <c r="J5">
        <f t="shared" si="3"/>
        <v>9347200</v>
      </c>
      <c r="K5" s="5" t="s">
        <v>25</v>
      </c>
    </row>
    <row r="6" spans="1:11">
      <c r="A6" s="1" t="s">
        <v>19</v>
      </c>
      <c r="B6" s="2" t="s">
        <v>26</v>
      </c>
      <c r="C6" s="1" t="s">
        <v>27</v>
      </c>
      <c r="D6" t="s">
        <v>14</v>
      </c>
      <c r="E6" s="1">
        <v>184</v>
      </c>
      <c r="F6" s="1">
        <v>4900</v>
      </c>
      <c r="G6" s="1">
        <f t="shared" si="0"/>
        <v>6125</v>
      </c>
      <c r="H6">
        <f t="shared" si="1"/>
        <v>1127000</v>
      </c>
      <c r="I6" s="1">
        <f t="shared" si="2"/>
        <v>901600</v>
      </c>
      <c r="J6">
        <f t="shared" si="3"/>
        <v>225400</v>
      </c>
      <c r="K6" s="5" t="s">
        <v>28</v>
      </c>
    </row>
    <row r="7" spans="1:11">
      <c r="A7" t="s">
        <v>29</v>
      </c>
      <c r="B7" s="2" t="s">
        <v>30</v>
      </c>
      <c r="C7" s="1" t="s">
        <v>31</v>
      </c>
      <c r="D7" t="s">
        <v>14</v>
      </c>
      <c r="E7" s="1">
        <v>158</v>
      </c>
      <c r="F7" s="1">
        <v>9000</v>
      </c>
      <c r="G7" s="1">
        <f t="shared" si="0"/>
        <v>11250</v>
      </c>
      <c r="H7">
        <f t="shared" si="1"/>
        <v>1777500</v>
      </c>
      <c r="I7" s="1">
        <f t="shared" si="2"/>
        <v>1422000</v>
      </c>
      <c r="J7">
        <f t="shared" si="3"/>
        <v>355500</v>
      </c>
      <c r="K7" s="5" t="s">
        <v>32</v>
      </c>
    </row>
    <row r="8" spans="1:11">
      <c r="A8" s="1" t="s">
        <v>23</v>
      </c>
      <c r="B8" s="1" t="s">
        <v>33</v>
      </c>
      <c r="C8" t="s">
        <v>34</v>
      </c>
      <c r="D8" s="1" t="s">
        <v>14</v>
      </c>
      <c r="E8" s="1">
        <v>2963</v>
      </c>
      <c r="F8">
        <v>7400</v>
      </c>
      <c r="G8" s="1">
        <f t="shared" si="0"/>
        <v>9250</v>
      </c>
      <c r="H8">
        <f t="shared" si="1"/>
        <v>27407750</v>
      </c>
      <c r="I8" s="1">
        <f t="shared" si="2"/>
        <v>21926200</v>
      </c>
      <c r="J8">
        <f t="shared" si="3"/>
        <v>5481550</v>
      </c>
      <c r="K8" s="4" t="s">
        <v>35</v>
      </c>
    </row>
    <row r="9" spans="1:11">
      <c r="A9" t="s">
        <v>29</v>
      </c>
      <c r="B9" s="1" t="s">
        <v>36</v>
      </c>
      <c r="C9" s="1" t="s">
        <v>37</v>
      </c>
      <c r="D9" s="1" t="s">
        <v>14</v>
      </c>
      <c r="E9" s="1">
        <v>152</v>
      </c>
      <c r="F9" s="1">
        <v>11700</v>
      </c>
      <c r="G9" s="1">
        <f t="shared" si="0"/>
        <v>14625</v>
      </c>
      <c r="H9">
        <f t="shared" si="1"/>
        <v>2223000</v>
      </c>
      <c r="I9" s="1">
        <f t="shared" si="2"/>
        <v>1778400</v>
      </c>
      <c r="J9">
        <f t="shared" si="3"/>
        <v>444600</v>
      </c>
      <c r="K9" s="5" t="s">
        <v>38</v>
      </c>
    </row>
    <row r="10" spans="1:11">
      <c r="A10" t="s">
        <v>19</v>
      </c>
      <c r="B10" s="3" t="s">
        <v>39</v>
      </c>
      <c r="C10" s="1" t="s">
        <v>34</v>
      </c>
      <c r="D10" s="1" t="s">
        <v>14</v>
      </c>
      <c r="E10" s="1">
        <v>1807</v>
      </c>
      <c r="F10">
        <v>2800</v>
      </c>
      <c r="G10" s="1">
        <f t="shared" si="0"/>
        <v>3500</v>
      </c>
      <c r="H10">
        <f t="shared" si="1"/>
        <v>6324500</v>
      </c>
      <c r="I10" s="1">
        <f t="shared" si="2"/>
        <v>5059600</v>
      </c>
      <c r="J10">
        <f t="shared" si="3"/>
        <v>1264900</v>
      </c>
      <c r="K10" s="5" t="s">
        <v>40</v>
      </c>
    </row>
    <row r="11" spans="1:11">
      <c r="A11" s="1" t="s">
        <v>29</v>
      </c>
      <c r="B11" s="2" t="s">
        <v>41</v>
      </c>
      <c r="C11" s="1" t="s">
        <v>13</v>
      </c>
      <c r="D11" t="s">
        <v>14</v>
      </c>
      <c r="E11" s="1">
        <v>1896</v>
      </c>
      <c r="F11" s="1">
        <v>11000</v>
      </c>
      <c r="G11" s="1">
        <f t="shared" si="0"/>
        <v>13750</v>
      </c>
      <c r="H11">
        <f t="shared" si="1"/>
        <v>26070000</v>
      </c>
      <c r="I11" s="1">
        <f t="shared" si="2"/>
        <v>20856000</v>
      </c>
      <c r="J11">
        <f t="shared" si="3"/>
        <v>5214000</v>
      </c>
      <c r="K11" s="4" t="s">
        <v>42</v>
      </c>
    </row>
    <row r="12" spans="1:11">
      <c r="A12" s="1" t="s">
        <v>29</v>
      </c>
      <c r="B12" s="1" t="s">
        <v>43</v>
      </c>
      <c r="C12" s="1" t="s">
        <v>37</v>
      </c>
      <c r="D12" s="1" t="s">
        <v>14</v>
      </c>
      <c r="E12">
        <v>217</v>
      </c>
      <c r="F12" s="1">
        <v>7700</v>
      </c>
      <c r="G12" s="1">
        <f t="shared" si="0"/>
        <v>9625</v>
      </c>
      <c r="H12">
        <f t="shared" si="1"/>
        <v>2088625</v>
      </c>
      <c r="I12" s="1">
        <f t="shared" si="2"/>
        <v>1670900</v>
      </c>
      <c r="J12">
        <f t="shared" si="3"/>
        <v>417725</v>
      </c>
      <c r="K12" s="4" t="s">
        <v>44</v>
      </c>
    </row>
    <row r="13" spans="1:11">
      <c r="A13" s="1" t="s">
        <v>29</v>
      </c>
      <c r="B13" s="1" t="s">
        <v>45</v>
      </c>
      <c r="C13" t="s">
        <v>31</v>
      </c>
      <c r="D13" s="1" t="s">
        <v>14</v>
      </c>
      <c r="E13" s="1">
        <v>1027</v>
      </c>
      <c r="F13">
        <v>9600</v>
      </c>
      <c r="G13" s="1">
        <f t="shared" si="0"/>
        <v>12000</v>
      </c>
      <c r="H13">
        <f t="shared" si="1"/>
        <v>12324000</v>
      </c>
      <c r="I13" s="1">
        <f t="shared" si="2"/>
        <v>9859200</v>
      </c>
      <c r="J13">
        <f t="shared" si="3"/>
        <v>2464800</v>
      </c>
      <c r="K13" s="5" t="s">
        <v>46</v>
      </c>
    </row>
    <row r="14" spans="1:11">
      <c r="A14" s="1" t="s">
        <v>29</v>
      </c>
      <c r="B14" s="3" t="s">
        <v>24</v>
      </c>
      <c r="C14" t="s">
        <v>21</v>
      </c>
      <c r="D14" s="1" t="s">
        <v>14</v>
      </c>
      <c r="E14" s="1">
        <v>1508</v>
      </c>
      <c r="F14">
        <v>19800</v>
      </c>
      <c r="G14" s="1">
        <f t="shared" si="0"/>
        <v>24750</v>
      </c>
      <c r="H14">
        <f t="shared" si="1"/>
        <v>37323000</v>
      </c>
      <c r="I14" s="1">
        <f t="shared" si="2"/>
        <v>29858400</v>
      </c>
      <c r="J14">
        <f t="shared" si="3"/>
        <v>7464600</v>
      </c>
      <c r="K14" s="5" t="s">
        <v>47</v>
      </c>
    </row>
    <row r="15" spans="1:11">
      <c r="A15" s="1" t="s">
        <v>19</v>
      </c>
      <c r="B15" s="2" t="s">
        <v>48</v>
      </c>
      <c r="C15" s="1" t="s">
        <v>31</v>
      </c>
      <c r="D15" s="1" t="s">
        <v>14</v>
      </c>
      <c r="E15" s="1">
        <v>1865</v>
      </c>
      <c r="F15">
        <v>22600</v>
      </c>
      <c r="G15" s="1">
        <f t="shared" si="0"/>
        <v>28250</v>
      </c>
      <c r="H15">
        <f t="shared" si="1"/>
        <v>52686250</v>
      </c>
      <c r="I15" s="1">
        <f t="shared" si="2"/>
        <v>42149000</v>
      </c>
      <c r="J15">
        <f t="shared" si="3"/>
        <v>10537250</v>
      </c>
      <c r="K15" s="5" t="s">
        <v>49</v>
      </c>
    </row>
    <row r="16" spans="1:11">
      <c r="A16" s="1" t="s">
        <v>23</v>
      </c>
      <c r="B16" s="2" t="s">
        <v>45</v>
      </c>
      <c r="C16" s="1" t="s">
        <v>27</v>
      </c>
      <c r="D16" t="s">
        <v>14</v>
      </c>
      <c r="E16" s="1">
        <v>1057</v>
      </c>
      <c r="F16" s="1">
        <v>8900</v>
      </c>
      <c r="G16" s="1">
        <f t="shared" si="0"/>
        <v>11125</v>
      </c>
      <c r="H16">
        <f t="shared" si="1"/>
        <v>11759125</v>
      </c>
      <c r="I16" s="1">
        <f t="shared" si="2"/>
        <v>9407300</v>
      </c>
      <c r="J16">
        <f t="shared" si="3"/>
        <v>2351825</v>
      </c>
      <c r="K16" s="5" t="s">
        <v>50</v>
      </c>
    </row>
    <row r="17" spans="1:11">
      <c r="A17" t="s">
        <v>29</v>
      </c>
      <c r="B17" s="1" t="s">
        <v>51</v>
      </c>
      <c r="C17" s="1" t="s">
        <v>17</v>
      </c>
      <c r="D17" s="1" t="s">
        <v>14</v>
      </c>
      <c r="E17" s="1">
        <v>2693</v>
      </c>
      <c r="F17">
        <v>6700</v>
      </c>
      <c r="G17" s="1">
        <f t="shared" si="0"/>
        <v>8375</v>
      </c>
      <c r="H17">
        <f t="shared" si="1"/>
        <v>22553875</v>
      </c>
      <c r="I17" s="1">
        <f t="shared" si="2"/>
        <v>18043100</v>
      </c>
      <c r="J17">
        <f t="shared" si="3"/>
        <v>4510775</v>
      </c>
      <c r="K17" s="5" t="s">
        <v>52</v>
      </c>
    </row>
    <row r="18" spans="1:11">
      <c r="A18" s="1" t="s">
        <v>11</v>
      </c>
      <c r="B18" s="2" t="s">
        <v>30</v>
      </c>
      <c r="C18" t="s">
        <v>21</v>
      </c>
      <c r="D18" s="1" t="s">
        <v>14</v>
      </c>
      <c r="E18" s="1">
        <v>2048</v>
      </c>
      <c r="F18" s="1">
        <v>18000</v>
      </c>
      <c r="G18" s="1">
        <f t="shared" si="0"/>
        <v>22500</v>
      </c>
      <c r="H18">
        <f t="shared" si="1"/>
        <v>46080000</v>
      </c>
      <c r="I18" s="1">
        <f t="shared" si="2"/>
        <v>36864000</v>
      </c>
      <c r="J18">
        <f t="shared" si="3"/>
        <v>9216000</v>
      </c>
      <c r="K18" s="4" t="s">
        <v>53</v>
      </c>
    </row>
    <row r="19" spans="1:11">
      <c r="A19" t="s">
        <v>19</v>
      </c>
      <c r="B19" s="1" t="s">
        <v>54</v>
      </c>
      <c r="C19" s="1" t="s">
        <v>13</v>
      </c>
      <c r="D19" t="s">
        <v>14</v>
      </c>
      <c r="E19">
        <v>1171</v>
      </c>
      <c r="F19">
        <v>15800</v>
      </c>
      <c r="G19" s="1">
        <f t="shared" si="0"/>
        <v>19750</v>
      </c>
      <c r="H19">
        <f t="shared" si="1"/>
        <v>23127250</v>
      </c>
      <c r="I19" s="1">
        <f t="shared" si="2"/>
        <v>18501800</v>
      </c>
      <c r="J19">
        <f t="shared" si="3"/>
        <v>4625450</v>
      </c>
      <c r="K19" s="5" t="s">
        <v>55</v>
      </c>
    </row>
    <row r="20" spans="1:11">
      <c r="A20" s="1" t="s">
        <v>11</v>
      </c>
      <c r="B20" t="s">
        <v>56</v>
      </c>
      <c r="C20" s="1" t="s">
        <v>37</v>
      </c>
      <c r="D20" t="s">
        <v>14</v>
      </c>
      <c r="E20" s="1">
        <v>171</v>
      </c>
      <c r="F20">
        <v>15900</v>
      </c>
      <c r="G20" s="1">
        <f t="shared" si="0"/>
        <v>19875</v>
      </c>
      <c r="H20">
        <f t="shared" si="1"/>
        <v>3398625</v>
      </c>
      <c r="I20" s="1">
        <f t="shared" si="2"/>
        <v>2718900</v>
      </c>
      <c r="J20">
        <f t="shared" si="3"/>
        <v>679725</v>
      </c>
      <c r="K20" s="5" t="s">
        <v>57</v>
      </c>
    </row>
    <row r="21" spans="1:11">
      <c r="A21" s="1" t="s">
        <v>19</v>
      </c>
      <c r="B21" s="1" t="s">
        <v>56</v>
      </c>
      <c r="C21" s="1" t="s">
        <v>37</v>
      </c>
      <c r="D21" t="s">
        <v>14</v>
      </c>
      <c r="E21" s="1">
        <v>2240</v>
      </c>
      <c r="F21" s="1">
        <v>21100</v>
      </c>
      <c r="G21" s="1">
        <f t="shared" si="0"/>
        <v>26375</v>
      </c>
      <c r="H21">
        <f t="shared" si="1"/>
        <v>59080000</v>
      </c>
      <c r="I21" s="1">
        <f t="shared" si="2"/>
        <v>47264000</v>
      </c>
      <c r="J21">
        <f t="shared" si="3"/>
        <v>11816000</v>
      </c>
      <c r="K21" s="4" t="s">
        <v>58</v>
      </c>
    </row>
    <row r="22" spans="1:11">
      <c r="A22" t="s">
        <v>23</v>
      </c>
      <c r="B22" t="s">
        <v>56</v>
      </c>
      <c r="C22" t="s">
        <v>34</v>
      </c>
      <c r="D22" s="1" t="s">
        <v>14</v>
      </c>
      <c r="E22" s="1">
        <v>1410</v>
      </c>
      <c r="F22" s="1">
        <v>17400</v>
      </c>
      <c r="G22" s="1">
        <f t="shared" si="0"/>
        <v>21750</v>
      </c>
      <c r="H22">
        <f t="shared" si="1"/>
        <v>30667500</v>
      </c>
      <c r="I22" s="1">
        <f t="shared" si="2"/>
        <v>24534000</v>
      </c>
      <c r="J22">
        <f t="shared" si="3"/>
        <v>6133500</v>
      </c>
      <c r="K22" s="5" t="s">
        <v>59</v>
      </c>
    </row>
    <row r="23" spans="1:11">
      <c r="A23" t="s">
        <v>19</v>
      </c>
      <c r="B23" s="1" t="s">
        <v>60</v>
      </c>
      <c r="C23" t="s">
        <v>37</v>
      </c>
      <c r="D23" s="1" t="s">
        <v>14</v>
      </c>
      <c r="E23" s="1">
        <v>1276</v>
      </c>
      <c r="F23" s="1">
        <v>18900</v>
      </c>
      <c r="G23" s="1">
        <f t="shared" si="0"/>
        <v>23625</v>
      </c>
      <c r="H23">
        <f t="shared" si="1"/>
        <v>30145500</v>
      </c>
      <c r="I23" s="1">
        <f t="shared" si="2"/>
        <v>24116400</v>
      </c>
      <c r="J23">
        <f t="shared" si="3"/>
        <v>6029100</v>
      </c>
      <c r="K23" s="5" t="s">
        <v>61</v>
      </c>
    </row>
    <row r="24" spans="1:11">
      <c r="A24" s="1" t="s">
        <v>19</v>
      </c>
      <c r="B24" t="s">
        <v>26</v>
      </c>
      <c r="C24" s="1" t="s">
        <v>13</v>
      </c>
      <c r="D24" s="1" t="s">
        <v>14</v>
      </c>
      <c r="E24" s="1">
        <v>2457</v>
      </c>
      <c r="F24" s="1">
        <v>22700</v>
      </c>
      <c r="G24" s="1">
        <f t="shared" si="0"/>
        <v>28375</v>
      </c>
      <c r="H24">
        <f t="shared" si="1"/>
        <v>69717375</v>
      </c>
      <c r="I24" s="1">
        <f t="shared" si="2"/>
        <v>55773900</v>
      </c>
      <c r="J24">
        <f t="shared" si="3"/>
        <v>13943475</v>
      </c>
      <c r="K24" s="5" t="s">
        <v>58</v>
      </c>
    </row>
    <row r="25" spans="1:11">
      <c r="A25" t="s">
        <v>19</v>
      </c>
      <c r="B25" s="3" t="s">
        <v>62</v>
      </c>
      <c r="C25" s="1" t="s">
        <v>63</v>
      </c>
      <c r="D25" s="1" t="s">
        <v>14</v>
      </c>
      <c r="E25" s="1">
        <v>786</v>
      </c>
      <c r="F25" s="1">
        <v>6000</v>
      </c>
      <c r="G25" s="1">
        <f t="shared" si="0"/>
        <v>7500</v>
      </c>
      <c r="H25">
        <f t="shared" si="1"/>
        <v>5895000</v>
      </c>
      <c r="I25" s="1">
        <f t="shared" si="2"/>
        <v>4716000</v>
      </c>
      <c r="J25">
        <f t="shared" si="3"/>
        <v>1179000</v>
      </c>
      <c r="K25" s="5" t="s">
        <v>64</v>
      </c>
    </row>
    <row r="26" spans="1:11">
      <c r="A26" t="s">
        <v>29</v>
      </c>
      <c r="B26" s="1" t="s">
        <v>20</v>
      </c>
      <c r="C26" t="s">
        <v>63</v>
      </c>
      <c r="D26" t="s">
        <v>14</v>
      </c>
      <c r="E26">
        <v>979</v>
      </c>
      <c r="F26">
        <v>19200</v>
      </c>
      <c r="G26" s="1">
        <f t="shared" si="0"/>
        <v>24000</v>
      </c>
      <c r="H26">
        <f t="shared" si="1"/>
        <v>23496000</v>
      </c>
      <c r="I26" s="1">
        <f t="shared" si="2"/>
        <v>18796800</v>
      </c>
      <c r="J26">
        <f t="shared" si="3"/>
        <v>4699200</v>
      </c>
      <c r="K26" s="5" t="s">
        <v>49</v>
      </c>
    </row>
    <row r="27" spans="1:11">
      <c r="A27" s="1" t="s">
        <v>11</v>
      </c>
      <c r="B27" s="1" t="s">
        <v>41</v>
      </c>
      <c r="C27" s="1" t="s">
        <v>31</v>
      </c>
      <c r="D27" t="s">
        <v>14</v>
      </c>
      <c r="E27">
        <v>1487</v>
      </c>
      <c r="F27" s="1">
        <v>15300</v>
      </c>
      <c r="G27" s="1">
        <f t="shared" si="0"/>
        <v>19125</v>
      </c>
      <c r="H27">
        <f t="shared" si="1"/>
        <v>28438875</v>
      </c>
      <c r="I27" s="1">
        <f t="shared" si="2"/>
        <v>22751100</v>
      </c>
      <c r="J27">
        <f t="shared" si="3"/>
        <v>5687775</v>
      </c>
      <c r="K27" s="5" t="s">
        <v>22</v>
      </c>
    </row>
    <row r="28" spans="1:11">
      <c r="A28" s="1" t="s">
        <v>29</v>
      </c>
      <c r="B28" t="s">
        <v>65</v>
      </c>
      <c r="C28" s="1" t="s">
        <v>13</v>
      </c>
      <c r="D28" t="s">
        <v>14</v>
      </c>
      <c r="E28">
        <v>914</v>
      </c>
      <c r="F28" s="1">
        <v>6500</v>
      </c>
      <c r="G28" s="1">
        <f t="shared" si="0"/>
        <v>8125</v>
      </c>
      <c r="H28">
        <f t="shared" si="1"/>
        <v>7426250</v>
      </c>
      <c r="I28" s="1">
        <f t="shared" si="2"/>
        <v>5941000</v>
      </c>
      <c r="J28">
        <f t="shared" si="3"/>
        <v>1485250</v>
      </c>
      <c r="K28" s="4" t="s">
        <v>66</v>
      </c>
    </row>
    <row r="29" spans="1:11">
      <c r="A29" s="1" t="s">
        <v>11</v>
      </c>
      <c r="B29" t="s">
        <v>67</v>
      </c>
      <c r="C29" s="1" t="s">
        <v>68</v>
      </c>
      <c r="D29" s="1" t="s">
        <v>14</v>
      </c>
      <c r="E29">
        <v>1108</v>
      </c>
      <c r="F29" s="1">
        <v>11800</v>
      </c>
      <c r="G29" s="1">
        <f t="shared" si="0"/>
        <v>14750</v>
      </c>
      <c r="H29">
        <f t="shared" si="1"/>
        <v>16343000</v>
      </c>
      <c r="I29" s="1">
        <f t="shared" si="2"/>
        <v>13074400</v>
      </c>
      <c r="J29">
        <f t="shared" si="3"/>
        <v>3268600</v>
      </c>
      <c r="K29" s="5" t="s">
        <v>69</v>
      </c>
    </row>
    <row r="30" spans="1:11">
      <c r="A30" t="s">
        <v>19</v>
      </c>
      <c r="B30" t="s">
        <v>70</v>
      </c>
      <c r="C30" t="s">
        <v>13</v>
      </c>
      <c r="D30" t="s">
        <v>14</v>
      </c>
      <c r="E30">
        <v>361</v>
      </c>
      <c r="F30" s="1">
        <v>3700</v>
      </c>
      <c r="G30" s="1">
        <f t="shared" si="0"/>
        <v>4625</v>
      </c>
      <c r="H30">
        <f t="shared" si="1"/>
        <v>1669625</v>
      </c>
      <c r="I30" s="1">
        <f t="shared" si="2"/>
        <v>1335700</v>
      </c>
      <c r="J30">
        <f t="shared" si="3"/>
        <v>333925</v>
      </c>
      <c r="K30" s="5" t="s">
        <v>71</v>
      </c>
    </row>
    <row r="31" spans="1:11">
      <c r="A31" t="s">
        <v>29</v>
      </c>
      <c r="B31" s="1" t="s">
        <v>16</v>
      </c>
      <c r="C31" s="1" t="s">
        <v>37</v>
      </c>
      <c r="D31" s="1" t="s">
        <v>14</v>
      </c>
      <c r="E31" s="1">
        <v>1104</v>
      </c>
      <c r="F31" s="1">
        <v>3200</v>
      </c>
      <c r="G31" s="1">
        <f t="shared" si="0"/>
        <v>4000</v>
      </c>
      <c r="H31">
        <f t="shared" si="1"/>
        <v>4416000</v>
      </c>
      <c r="I31" s="1">
        <f t="shared" si="2"/>
        <v>3532800</v>
      </c>
      <c r="J31">
        <f t="shared" si="3"/>
        <v>883200</v>
      </c>
      <c r="K31" s="5" t="s">
        <v>72</v>
      </c>
    </row>
    <row r="32" spans="1:11">
      <c r="A32" t="s">
        <v>23</v>
      </c>
      <c r="B32" s="1" t="s">
        <v>65</v>
      </c>
      <c r="C32" s="1" t="s">
        <v>21</v>
      </c>
      <c r="D32" s="1" t="s">
        <v>14</v>
      </c>
      <c r="E32" s="1">
        <v>1113</v>
      </c>
      <c r="F32" s="1">
        <v>15800</v>
      </c>
      <c r="G32" s="1">
        <f t="shared" si="0"/>
        <v>19750</v>
      </c>
      <c r="H32">
        <f t="shared" si="1"/>
        <v>21981750</v>
      </c>
      <c r="I32" s="1">
        <f t="shared" si="2"/>
        <v>17585400</v>
      </c>
      <c r="J32">
        <f t="shared" si="3"/>
        <v>4396350</v>
      </c>
      <c r="K32" s="4" t="s">
        <v>73</v>
      </c>
    </row>
    <row r="33" spans="1:11">
      <c r="A33" s="1" t="s">
        <v>29</v>
      </c>
      <c r="B33" s="2" t="s">
        <v>54</v>
      </c>
      <c r="C33" t="s">
        <v>37</v>
      </c>
      <c r="D33" s="1" t="s">
        <v>14</v>
      </c>
      <c r="E33">
        <v>891</v>
      </c>
      <c r="F33" s="1">
        <v>11500</v>
      </c>
      <c r="G33" s="1">
        <f t="shared" si="0"/>
        <v>14375</v>
      </c>
      <c r="H33">
        <f t="shared" si="1"/>
        <v>12808125</v>
      </c>
      <c r="I33" s="1">
        <f t="shared" si="2"/>
        <v>10246500</v>
      </c>
      <c r="J33">
        <f t="shared" si="3"/>
        <v>2561625</v>
      </c>
      <c r="K33" s="5" t="s">
        <v>74</v>
      </c>
    </row>
    <row r="34" spans="1:11">
      <c r="A34" s="1" t="s">
        <v>19</v>
      </c>
      <c r="B34" s="2" t="s">
        <v>67</v>
      </c>
      <c r="C34" s="1" t="s">
        <v>27</v>
      </c>
      <c r="D34" s="1" t="s">
        <v>14</v>
      </c>
      <c r="E34">
        <v>2500</v>
      </c>
      <c r="F34">
        <v>6300</v>
      </c>
      <c r="G34" s="1">
        <f t="shared" si="0"/>
        <v>7875</v>
      </c>
      <c r="H34">
        <f t="shared" si="1"/>
        <v>19687500</v>
      </c>
      <c r="I34" s="1">
        <f t="shared" si="2"/>
        <v>15750000</v>
      </c>
      <c r="J34">
        <f t="shared" si="3"/>
        <v>3937500</v>
      </c>
      <c r="K34" s="4" t="s">
        <v>75</v>
      </c>
    </row>
    <row r="35" spans="1:11">
      <c r="A35" s="1" t="s">
        <v>23</v>
      </c>
      <c r="B35" t="s">
        <v>20</v>
      </c>
      <c r="C35" s="1" t="s">
        <v>21</v>
      </c>
      <c r="D35" t="s">
        <v>14</v>
      </c>
      <c r="E35" s="1">
        <v>2740</v>
      </c>
      <c r="F35" s="1">
        <v>9200</v>
      </c>
      <c r="G35" s="1">
        <f t="shared" si="0"/>
        <v>11500</v>
      </c>
      <c r="H35">
        <f t="shared" si="1"/>
        <v>31510000</v>
      </c>
      <c r="I35" s="1">
        <f t="shared" si="2"/>
        <v>25208000</v>
      </c>
      <c r="J35">
        <f t="shared" si="3"/>
        <v>6302000</v>
      </c>
      <c r="K35" s="4" t="s">
        <v>76</v>
      </c>
    </row>
    <row r="36" spans="1:11">
      <c r="A36" s="1" t="s">
        <v>23</v>
      </c>
      <c r="B36" t="s">
        <v>77</v>
      </c>
      <c r="C36" t="s">
        <v>27</v>
      </c>
      <c r="D36" s="1" t="s">
        <v>14</v>
      </c>
      <c r="E36" s="1">
        <v>1571</v>
      </c>
      <c r="F36" s="1">
        <v>12400</v>
      </c>
      <c r="G36" s="1">
        <f t="shared" si="0"/>
        <v>15500</v>
      </c>
      <c r="H36">
        <f t="shared" si="1"/>
        <v>24350500</v>
      </c>
      <c r="I36" s="1">
        <f t="shared" si="2"/>
        <v>19480400</v>
      </c>
      <c r="J36">
        <f t="shared" si="3"/>
        <v>4870100</v>
      </c>
      <c r="K36" s="4" t="s">
        <v>78</v>
      </c>
    </row>
    <row r="37" spans="1:11">
      <c r="A37" t="s">
        <v>23</v>
      </c>
      <c r="B37" s="1" t="s">
        <v>43</v>
      </c>
      <c r="C37" s="1" t="s">
        <v>79</v>
      </c>
      <c r="D37" s="1" t="s">
        <v>14</v>
      </c>
      <c r="E37">
        <v>915</v>
      </c>
      <c r="F37" s="1">
        <v>11500</v>
      </c>
      <c r="G37" s="1">
        <f t="shared" si="0"/>
        <v>14375</v>
      </c>
      <c r="H37">
        <f t="shared" si="1"/>
        <v>13153125</v>
      </c>
      <c r="I37" s="1">
        <f t="shared" si="2"/>
        <v>10522500</v>
      </c>
      <c r="J37">
        <f t="shared" si="3"/>
        <v>2630625</v>
      </c>
      <c r="K37" s="5" t="s">
        <v>80</v>
      </c>
    </row>
    <row r="38" spans="1:11">
      <c r="A38" s="1" t="s">
        <v>23</v>
      </c>
      <c r="B38" t="s">
        <v>48</v>
      </c>
      <c r="C38" t="s">
        <v>63</v>
      </c>
      <c r="D38" s="1" t="s">
        <v>14</v>
      </c>
      <c r="E38" s="1">
        <v>919</v>
      </c>
      <c r="F38">
        <v>16000</v>
      </c>
      <c r="G38" s="1">
        <f t="shared" si="0"/>
        <v>20000</v>
      </c>
      <c r="H38">
        <f t="shared" si="1"/>
        <v>18380000</v>
      </c>
      <c r="I38" s="1">
        <f t="shared" si="2"/>
        <v>14704000</v>
      </c>
      <c r="J38">
        <f t="shared" si="3"/>
        <v>3676000</v>
      </c>
      <c r="K38" s="5" t="s">
        <v>58</v>
      </c>
    </row>
    <row r="39" spans="1:11">
      <c r="A39" s="1" t="s">
        <v>29</v>
      </c>
      <c r="B39" t="s">
        <v>62</v>
      </c>
      <c r="C39" t="s">
        <v>31</v>
      </c>
      <c r="D39" t="s">
        <v>14</v>
      </c>
      <c r="E39">
        <v>1123</v>
      </c>
      <c r="F39" s="1">
        <v>23900</v>
      </c>
      <c r="G39" s="1">
        <f t="shared" si="0"/>
        <v>29875</v>
      </c>
      <c r="H39">
        <f t="shared" si="1"/>
        <v>33549625</v>
      </c>
      <c r="I39" s="1">
        <f t="shared" si="2"/>
        <v>26839700</v>
      </c>
      <c r="J39">
        <f t="shared" si="3"/>
        <v>6709925</v>
      </c>
      <c r="K39" s="4" t="s">
        <v>81</v>
      </c>
    </row>
    <row r="40" spans="1:11">
      <c r="A40" s="1" t="s">
        <v>29</v>
      </c>
      <c r="B40" s="1" t="s">
        <v>54</v>
      </c>
      <c r="C40" s="1" t="s">
        <v>31</v>
      </c>
      <c r="D40" s="1" t="s">
        <v>14</v>
      </c>
      <c r="E40">
        <v>1790</v>
      </c>
      <c r="F40" s="1">
        <v>19100</v>
      </c>
      <c r="G40" s="1">
        <f t="shared" si="0"/>
        <v>23875</v>
      </c>
      <c r="H40">
        <f t="shared" si="1"/>
        <v>42736250</v>
      </c>
      <c r="I40" s="1">
        <f t="shared" si="2"/>
        <v>34189000</v>
      </c>
      <c r="J40">
        <f t="shared" si="3"/>
        <v>8547250</v>
      </c>
      <c r="K40" s="5" t="s">
        <v>82</v>
      </c>
    </row>
    <row r="41" spans="1:11">
      <c r="A41" t="s">
        <v>29</v>
      </c>
      <c r="B41" s="1" t="s">
        <v>20</v>
      </c>
      <c r="C41" s="1" t="s">
        <v>63</v>
      </c>
      <c r="D41" t="s">
        <v>14</v>
      </c>
      <c r="E41">
        <v>752</v>
      </c>
      <c r="F41" s="1">
        <v>2800</v>
      </c>
      <c r="G41" s="1">
        <f t="shared" si="0"/>
        <v>3500</v>
      </c>
      <c r="H41">
        <f t="shared" si="1"/>
        <v>2632000</v>
      </c>
      <c r="I41" s="1">
        <f t="shared" si="2"/>
        <v>2105600</v>
      </c>
      <c r="J41">
        <f t="shared" si="3"/>
        <v>526400</v>
      </c>
      <c r="K41" s="4" t="s">
        <v>83</v>
      </c>
    </row>
    <row r="42" spans="1:11">
      <c r="A42" t="s">
        <v>19</v>
      </c>
      <c r="B42" s="2" t="s">
        <v>84</v>
      </c>
      <c r="C42" t="s">
        <v>34</v>
      </c>
      <c r="D42" t="s">
        <v>14</v>
      </c>
      <c r="E42">
        <v>2685</v>
      </c>
      <c r="F42" s="1">
        <v>20300</v>
      </c>
      <c r="G42" s="1">
        <f t="shared" si="0"/>
        <v>25375</v>
      </c>
      <c r="H42">
        <f t="shared" si="1"/>
        <v>68131875</v>
      </c>
      <c r="I42" s="1">
        <f t="shared" si="2"/>
        <v>54505500</v>
      </c>
      <c r="J42">
        <f t="shared" si="3"/>
        <v>13626375</v>
      </c>
      <c r="K42" s="5" t="s">
        <v>85</v>
      </c>
    </row>
    <row r="43" spans="1:11">
      <c r="A43" s="1" t="s">
        <v>23</v>
      </c>
      <c r="B43" s="1" t="s">
        <v>77</v>
      </c>
      <c r="C43" s="1" t="s">
        <v>68</v>
      </c>
      <c r="D43" s="1" t="s">
        <v>14</v>
      </c>
      <c r="E43" s="1">
        <v>2540</v>
      </c>
      <c r="F43">
        <v>3000</v>
      </c>
      <c r="G43" s="1">
        <f t="shared" si="0"/>
        <v>3750</v>
      </c>
      <c r="H43">
        <f t="shared" si="1"/>
        <v>9525000</v>
      </c>
      <c r="I43" s="1">
        <f t="shared" si="2"/>
        <v>7620000</v>
      </c>
      <c r="J43">
        <f t="shared" si="3"/>
        <v>1905000</v>
      </c>
      <c r="K43" s="5" t="s">
        <v>86</v>
      </c>
    </row>
    <row r="44" spans="1:11">
      <c r="A44" s="1" t="s">
        <v>11</v>
      </c>
      <c r="B44" s="1" t="s">
        <v>43</v>
      </c>
      <c r="C44" s="1" t="s">
        <v>63</v>
      </c>
      <c r="D44" s="1" t="s">
        <v>14</v>
      </c>
      <c r="E44" s="1">
        <v>354</v>
      </c>
      <c r="F44">
        <v>3900</v>
      </c>
      <c r="G44" s="1">
        <f t="shared" si="0"/>
        <v>4875</v>
      </c>
      <c r="H44">
        <f t="shared" si="1"/>
        <v>1725750</v>
      </c>
      <c r="I44" s="1">
        <f t="shared" si="2"/>
        <v>1380600</v>
      </c>
      <c r="J44">
        <f t="shared" si="3"/>
        <v>345150</v>
      </c>
      <c r="K44" s="5" t="s">
        <v>87</v>
      </c>
    </row>
    <row r="45" spans="1:11">
      <c r="A45" s="1" t="s">
        <v>11</v>
      </c>
      <c r="B45" s="1" t="s">
        <v>88</v>
      </c>
      <c r="C45" t="s">
        <v>34</v>
      </c>
      <c r="D45" t="s">
        <v>14</v>
      </c>
      <c r="E45" s="1">
        <v>2046</v>
      </c>
      <c r="F45">
        <v>12600</v>
      </c>
      <c r="G45" s="1">
        <f t="shared" si="0"/>
        <v>15750</v>
      </c>
      <c r="H45">
        <f t="shared" si="1"/>
        <v>32224500</v>
      </c>
      <c r="I45" s="1">
        <f t="shared" si="2"/>
        <v>25779600</v>
      </c>
      <c r="J45">
        <f t="shared" si="3"/>
        <v>6444900</v>
      </c>
      <c r="K45" s="4" t="s">
        <v>53</v>
      </c>
    </row>
    <row r="46" spans="1:11">
      <c r="A46" s="1" t="s">
        <v>29</v>
      </c>
      <c r="B46" s="1" t="s">
        <v>89</v>
      </c>
      <c r="C46" s="1" t="s">
        <v>21</v>
      </c>
      <c r="D46" s="1" t="s">
        <v>14</v>
      </c>
      <c r="E46">
        <v>638</v>
      </c>
      <c r="F46">
        <v>15500</v>
      </c>
      <c r="G46" s="1">
        <f t="shared" si="0"/>
        <v>19375</v>
      </c>
      <c r="H46">
        <f t="shared" si="1"/>
        <v>12361250</v>
      </c>
      <c r="I46" s="1">
        <f t="shared" si="2"/>
        <v>9889000</v>
      </c>
      <c r="J46">
        <f t="shared" si="3"/>
        <v>2472250</v>
      </c>
      <c r="K46" s="5" t="s">
        <v>90</v>
      </c>
    </row>
    <row r="47" spans="1:11">
      <c r="A47" s="1" t="s">
        <v>23</v>
      </c>
      <c r="B47" t="s">
        <v>16</v>
      </c>
      <c r="C47" s="1" t="s">
        <v>17</v>
      </c>
      <c r="D47" t="s">
        <v>14</v>
      </c>
      <c r="E47" s="1">
        <v>2951</v>
      </c>
      <c r="F47">
        <v>21800</v>
      </c>
      <c r="G47" s="1">
        <f t="shared" si="0"/>
        <v>27250</v>
      </c>
      <c r="H47">
        <f t="shared" si="1"/>
        <v>80414750</v>
      </c>
      <c r="I47" s="1">
        <f t="shared" si="2"/>
        <v>64331800</v>
      </c>
      <c r="J47">
        <f t="shared" si="3"/>
        <v>16082950</v>
      </c>
      <c r="K47" s="5" t="s">
        <v>91</v>
      </c>
    </row>
    <row r="48" spans="1:11">
      <c r="A48" t="s">
        <v>23</v>
      </c>
      <c r="B48" t="s">
        <v>41</v>
      </c>
      <c r="C48" s="1" t="s">
        <v>21</v>
      </c>
      <c r="D48" s="1" t="s">
        <v>14</v>
      </c>
      <c r="E48">
        <v>1032</v>
      </c>
      <c r="F48" s="1">
        <v>19000</v>
      </c>
      <c r="G48" s="1">
        <f t="shared" si="0"/>
        <v>23750</v>
      </c>
      <c r="H48">
        <f t="shared" si="1"/>
        <v>24510000</v>
      </c>
      <c r="I48" s="1">
        <f t="shared" si="2"/>
        <v>19608000</v>
      </c>
      <c r="J48">
        <f t="shared" si="3"/>
        <v>4902000</v>
      </c>
      <c r="K48" s="4" t="s">
        <v>92</v>
      </c>
    </row>
    <row r="49" spans="1:11">
      <c r="A49" s="1" t="s">
        <v>29</v>
      </c>
      <c r="B49" t="s">
        <v>93</v>
      </c>
      <c r="C49" t="s">
        <v>17</v>
      </c>
      <c r="D49" t="s">
        <v>14</v>
      </c>
      <c r="E49" s="1">
        <v>927</v>
      </c>
      <c r="F49" s="1">
        <v>11200</v>
      </c>
      <c r="G49" s="1">
        <f t="shared" si="0"/>
        <v>14000</v>
      </c>
      <c r="H49">
        <f t="shared" si="1"/>
        <v>12978000</v>
      </c>
      <c r="I49" s="1">
        <f t="shared" si="2"/>
        <v>10382400</v>
      </c>
      <c r="J49">
        <f t="shared" si="3"/>
        <v>2595600</v>
      </c>
      <c r="K49" s="5" t="s">
        <v>94</v>
      </c>
    </row>
    <row r="50" spans="1:11">
      <c r="A50" s="1" t="s">
        <v>23</v>
      </c>
      <c r="B50" s="2" t="s">
        <v>39</v>
      </c>
      <c r="C50" s="1" t="s">
        <v>31</v>
      </c>
      <c r="D50" s="1" t="s">
        <v>14</v>
      </c>
      <c r="E50" s="1">
        <v>2609</v>
      </c>
      <c r="F50" s="1">
        <v>19000</v>
      </c>
      <c r="G50" s="1">
        <f t="shared" si="0"/>
        <v>23750</v>
      </c>
      <c r="H50">
        <f t="shared" si="1"/>
        <v>61963750</v>
      </c>
      <c r="I50" s="1">
        <f t="shared" si="2"/>
        <v>49571000</v>
      </c>
      <c r="J50">
        <f t="shared" si="3"/>
        <v>12392750</v>
      </c>
      <c r="K50" s="4" t="s">
        <v>95</v>
      </c>
    </row>
    <row r="51" spans="1:11">
      <c r="A51" t="s">
        <v>11</v>
      </c>
      <c r="B51" s="1" t="s">
        <v>54</v>
      </c>
      <c r="C51" s="1" t="s">
        <v>37</v>
      </c>
      <c r="D51" s="1" t="s">
        <v>14</v>
      </c>
      <c r="E51">
        <v>1663</v>
      </c>
      <c r="F51">
        <v>1700</v>
      </c>
      <c r="G51" s="1">
        <f t="shared" si="0"/>
        <v>2125</v>
      </c>
      <c r="H51">
        <f t="shared" si="1"/>
        <v>3533875</v>
      </c>
      <c r="I51" s="1">
        <f t="shared" si="2"/>
        <v>2827100</v>
      </c>
      <c r="J51">
        <f t="shared" si="3"/>
        <v>706775</v>
      </c>
      <c r="K51" s="4" t="s">
        <v>96</v>
      </c>
    </row>
  </sheetData>
  <conditionalFormatting sqref="J1:J51">
    <cfRule type="cellIs" dxfId="0" priority="1" operator="less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topLeftCell="A2" zoomScaleNormal="100" workbookViewId="0">
      <selection activeCell="D34" sqref="D33:D34"/>
    </sheetView>
  </sheetViews>
  <sheetFormatPr defaultRowHeight="14.25"/>
  <cols>
    <col min="1" max="1" width="14.19921875" bestFit="1" customWidth="1"/>
    <col min="2" max="2" width="9.265625" bestFit="1" customWidth="1"/>
    <col min="3" max="3" width="11.53125" bestFit="1" customWidth="1"/>
    <col min="4" max="4" width="14.33203125" customWidth="1"/>
    <col min="5" max="5" width="12.06640625" style="7" bestFit="1" customWidth="1"/>
    <col min="6" max="6" width="19.06640625" style="8" bestFit="1" customWidth="1"/>
    <col min="7" max="7" width="10.46484375" style="8" bestFit="1" customWidth="1"/>
    <col min="8" max="10" width="12.19921875" style="8" bestFit="1" customWidth="1"/>
    <col min="11" max="11" width="11.1328125" style="9" bestFit="1" customWidth="1"/>
    <col min="12" max="12" width="9.06640625" style="10"/>
  </cols>
  <sheetData>
    <row r="1" spans="1:12">
      <c r="A1" t="s">
        <v>0</v>
      </c>
      <c r="B1" t="s">
        <v>1</v>
      </c>
      <c r="C1" t="s">
        <v>2</v>
      </c>
      <c r="D1" t="s">
        <v>3</v>
      </c>
      <c r="E1" s="7" t="s">
        <v>4</v>
      </c>
      <c r="F1" s="8" t="s">
        <v>5</v>
      </c>
      <c r="G1" s="8" t="s">
        <v>6</v>
      </c>
      <c r="H1" s="8" t="s">
        <v>7</v>
      </c>
      <c r="I1" s="8" t="s">
        <v>8</v>
      </c>
      <c r="J1" s="8" t="s">
        <v>9</v>
      </c>
      <c r="K1" s="9" t="s">
        <v>10</v>
      </c>
      <c r="L1" s="10" t="s">
        <v>99</v>
      </c>
    </row>
    <row r="2" spans="1:12">
      <c r="A2" t="s">
        <v>19</v>
      </c>
      <c r="B2" t="s">
        <v>88</v>
      </c>
      <c r="C2" t="s">
        <v>13</v>
      </c>
      <c r="D2" t="s">
        <v>14</v>
      </c>
      <c r="E2" s="7">
        <v>1216</v>
      </c>
      <c r="F2" s="8">
        <v>21100</v>
      </c>
      <c r="G2" s="8">
        <f t="shared" ref="G2:G65" si="0">ROUNDDOWN(F2/100,0)*100*1.25</f>
        <v>26375</v>
      </c>
      <c r="H2" s="8">
        <f t="shared" ref="H2:H65" si="1">E2*G2</f>
        <v>32072000</v>
      </c>
      <c r="I2" s="8">
        <f t="shared" ref="I2:I65" si="2">E2*F2</f>
        <v>25657600</v>
      </c>
      <c r="J2" s="8">
        <f t="shared" ref="J2:J65" si="3">H2-I2</f>
        <v>6414400</v>
      </c>
      <c r="K2" s="9">
        <v>45658</v>
      </c>
      <c r="L2" s="10">
        <f>Table1[[#This Row],[Profit]]/Table1[[#This Row],[Sales]]</f>
        <v>0.2</v>
      </c>
    </row>
    <row r="3" spans="1:12">
      <c r="A3" t="s">
        <v>19</v>
      </c>
      <c r="B3" t="s">
        <v>51</v>
      </c>
      <c r="C3" t="s">
        <v>31</v>
      </c>
      <c r="D3" t="s">
        <v>14</v>
      </c>
      <c r="E3" s="7">
        <v>1734</v>
      </c>
      <c r="F3" s="8">
        <v>9900</v>
      </c>
      <c r="G3" s="8">
        <f t="shared" si="0"/>
        <v>12375</v>
      </c>
      <c r="H3" s="8">
        <f t="shared" si="1"/>
        <v>21458250</v>
      </c>
      <c r="I3" s="8">
        <f t="shared" si="2"/>
        <v>17166600</v>
      </c>
      <c r="J3" s="8">
        <f t="shared" si="3"/>
        <v>4291650</v>
      </c>
      <c r="K3" s="9">
        <v>45663</v>
      </c>
      <c r="L3" s="10">
        <f>Table1[[#This Row],[Profit]]/Table1[[#This Row],[Sales]]</f>
        <v>0.2</v>
      </c>
    </row>
    <row r="4" spans="1:12">
      <c r="A4" t="s">
        <v>19</v>
      </c>
      <c r="B4" t="s">
        <v>62</v>
      </c>
      <c r="C4" t="s">
        <v>34</v>
      </c>
      <c r="D4" t="s">
        <v>14</v>
      </c>
      <c r="E4" s="7">
        <v>267</v>
      </c>
      <c r="F4" s="8">
        <v>9800</v>
      </c>
      <c r="G4" s="8">
        <f t="shared" si="0"/>
        <v>12250</v>
      </c>
      <c r="H4" s="8">
        <f t="shared" si="1"/>
        <v>3270750</v>
      </c>
      <c r="I4" s="8">
        <f t="shared" si="2"/>
        <v>2616600</v>
      </c>
      <c r="J4" s="8">
        <f t="shared" si="3"/>
        <v>654150</v>
      </c>
      <c r="K4" s="9">
        <v>45667</v>
      </c>
      <c r="L4" s="10">
        <f>Table1[[#This Row],[Profit]]/Table1[[#This Row],[Sales]]</f>
        <v>0.2</v>
      </c>
    </row>
    <row r="5" spans="1:12">
      <c r="A5" t="s">
        <v>19</v>
      </c>
      <c r="B5" t="s">
        <v>51</v>
      </c>
      <c r="C5" t="s">
        <v>27</v>
      </c>
      <c r="D5" t="s">
        <v>14</v>
      </c>
      <c r="E5" s="7">
        <v>2129</v>
      </c>
      <c r="F5" s="8">
        <v>23800</v>
      </c>
      <c r="G5" s="8">
        <f t="shared" si="0"/>
        <v>29750</v>
      </c>
      <c r="H5" s="8">
        <f t="shared" si="1"/>
        <v>63337750</v>
      </c>
      <c r="I5" s="8">
        <f t="shared" si="2"/>
        <v>50670200</v>
      </c>
      <c r="J5" s="8">
        <f t="shared" si="3"/>
        <v>12667550</v>
      </c>
      <c r="K5" s="9">
        <v>45669</v>
      </c>
      <c r="L5" s="10">
        <f>Table1[[#This Row],[Profit]]/Table1[[#This Row],[Sales]]</f>
        <v>0.2</v>
      </c>
    </row>
    <row r="6" spans="1:12">
      <c r="A6" t="s">
        <v>19</v>
      </c>
      <c r="B6" t="s">
        <v>77</v>
      </c>
      <c r="C6" t="s">
        <v>17</v>
      </c>
      <c r="D6" t="s">
        <v>14</v>
      </c>
      <c r="E6" s="7">
        <v>2701</v>
      </c>
      <c r="F6" s="8">
        <v>21100</v>
      </c>
      <c r="G6" s="8">
        <f t="shared" si="0"/>
        <v>26375</v>
      </c>
      <c r="H6" s="8">
        <f t="shared" si="1"/>
        <v>71238875</v>
      </c>
      <c r="I6" s="8">
        <f t="shared" si="2"/>
        <v>56991100</v>
      </c>
      <c r="J6" s="8">
        <f t="shared" si="3"/>
        <v>14247775</v>
      </c>
      <c r="K6" s="9">
        <v>45671</v>
      </c>
      <c r="L6" s="10">
        <f>Table1[[#This Row],[Profit]]/Table1[[#This Row],[Sales]]</f>
        <v>0.2</v>
      </c>
    </row>
    <row r="7" spans="1:12">
      <c r="A7" t="s">
        <v>19</v>
      </c>
      <c r="B7" t="s">
        <v>20</v>
      </c>
      <c r="C7" t="s">
        <v>17</v>
      </c>
      <c r="D7" t="s">
        <v>14</v>
      </c>
      <c r="E7" s="7">
        <v>1596</v>
      </c>
      <c r="F7" s="8">
        <v>22500</v>
      </c>
      <c r="G7" s="8">
        <f t="shared" si="0"/>
        <v>28125</v>
      </c>
      <c r="H7" s="8">
        <f t="shared" si="1"/>
        <v>44887500</v>
      </c>
      <c r="I7" s="8">
        <f t="shared" si="2"/>
        <v>35910000</v>
      </c>
      <c r="J7" s="8">
        <f t="shared" si="3"/>
        <v>8977500</v>
      </c>
      <c r="K7" s="9">
        <v>45671</v>
      </c>
      <c r="L7" s="10">
        <f>Table1[[#This Row],[Profit]]/Table1[[#This Row],[Sales]]</f>
        <v>0.2</v>
      </c>
    </row>
    <row r="8" spans="1:12">
      <c r="A8" t="s">
        <v>19</v>
      </c>
      <c r="B8" t="s">
        <v>62</v>
      </c>
      <c r="C8" t="s">
        <v>34</v>
      </c>
      <c r="D8" t="s">
        <v>14</v>
      </c>
      <c r="E8" s="7">
        <v>507</v>
      </c>
      <c r="F8" s="8">
        <v>10700</v>
      </c>
      <c r="G8" s="8">
        <f t="shared" si="0"/>
        <v>13375</v>
      </c>
      <c r="H8" s="8">
        <f t="shared" si="1"/>
        <v>6781125</v>
      </c>
      <c r="I8" s="8">
        <f t="shared" si="2"/>
        <v>5424900</v>
      </c>
      <c r="J8" s="8">
        <f t="shared" si="3"/>
        <v>1356225</v>
      </c>
      <c r="K8" s="9">
        <v>45673</v>
      </c>
      <c r="L8" s="10">
        <f>Table1[[#This Row],[Profit]]/Table1[[#This Row],[Sales]]</f>
        <v>0.2</v>
      </c>
    </row>
    <row r="9" spans="1:12">
      <c r="A9" t="s">
        <v>19</v>
      </c>
      <c r="B9" t="s">
        <v>77</v>
      </c>
      <c r="C9" t="s">
        <v>27</v>
      </c>
      <c r="D9" t="s">
        <v>14</v>
      </c>
      <c r="E9" s="7">
        <v>519</v>
      </c>
      <c r="F9" s="8">
        <v>18200</v>
      </c>
      <c r="G9" s="8">
        <f t="shared" si="0"/>
        <v>22750</v>
      </c>
      <c r="H9" s="8">
        <f t="shared" si="1"/>
        <v>11807250</v>
      </c>
      <c r="I9" s="8">
        <f t="shared" si="2"/>
        <v>9445800</v>
      </c>
      <c r="J9" s="8">
        <f t="shared" si="3"/>
        <v>2361450</v>
      </c>
      <c r="K9" s="9">
        <v>45674</v>
      </c>
      <c r="L9" s="10">
        <f>Table1[[#This Row],[Profit]]/Table1[[#This Row],[Sales]]</f>
        <v>0.2</v>
      </c>
    </row>
    <row r="10" spans="1:12">
      <c r="A10" t="s">
        <v>19</v>
      </c>
      <c r="B10" t="s">
        <v>77</v>
      </c>
      <c r="C10" t="s">
        <v>37</v>
      </c>
      <c r="D10" t="s">
        <v>14</v>
      </c>
      <c r="E10" s="7">
        <v>2745</v>
      </c>
      <c r="F10" s="8">
        <v>8700</v>
      </c>
      <c r="G10" s="8">
        <f t="shared" si="0"/>
        <v>10875</v>
      </c>
      <c r="H10" s="8">
        <f t="shared" si="1"/>
        <v>29851875</v>
      </c>
      <c r="I10" s="8">
        <f t="shared" si="2"/>
        <v>23881500</v>
      </c>
      <c r="J10" s="8">
        <f t="shared" si="3"/>
        <v>5970375</v>
      </c>
      <c r="K10" s="9">
        <v>45675</v>
      </c>
      <c r="L10" s="10">
        <f>Table1[[#This Row],[Profit]]/Table1[[#This Row],[Sales]]</f>
        <v>0.2</v>
      </c>
    </row>
    <row r="11" spans="1:12">
      <c r="A11" t="s">
        <v>19</v>
      </c>
      <c r="B11" t="s">
        <v>20</v>
      </c>
      <c r="C11" t="s">
        <v>63</v>
      </c>
      <c r="D11" t="s">
        <v>14</v>
      </c>
      <c r="E11" s="7">
        <v>1331</v>
      </c>
      <c r="F11" s="8">
        <v>14600</v>
      </c>
      <c r="G11" s="8">
        <f t="shared" si="0"/>
        <v>18250</v>
      </c>
      <c r="H11" s="8">
        <f t="shared" si="1"/>
        <v>24290750</v>
      </c>
      <c r="I11" s="8">
        <f t="shared" si="2"/>
        <v>19432600</v>
      </c>
      <c r="J11" s="8">
        <f t="shared" si="3"/>
        <v>4858150</v>
      </c>
      <c r="K11" s="9">
        <v>45675</v>
      </c>
      <c r="L11" s="10">
        <f>Table1[[#This Row],[Profit]]/Table1[[#This Row],[Sales]]</f>
        <v>0.2</v>
      </c>
    </row>
    <row r="12" spans="1:12">
      <c r="A12" t="s">
        <v>19</v>
      </c>
      <c r="B12" t="s">
        <v>97</v>
      </c>
      <c r="C12" t="s">
        <v>31</v>
      </c>
      <c r="D12" t="s">
        <v>14</v>
      </c>
      <c r="E12" s="7">
        <v>808</v>
      </c>
      <c r="F12" s="8">
        <v>16400</v>
      </c>
      <c r="G12" s="8">
        <f t="shared" si="0"/>
        <v>20500</v>
      </c>
      <c r="H12" s="8">
        <f t="shared" si="1"/>
        <v>16564000</v>
      </c>
      <c r="I12" s="8">
        <f t="shared" si="2"/>
        <v>13251200</v>
      </c>
      <c r="J12" s="8">
        <f t="shared" si="3"/>
        <v>3312800</v>
      </c>
      <c r="K12" s="9">
        <v>45678</v>
      </c>
      <c r="L12" s="10">
        <f>Table1[[#This Row],[Profit]]/Table1[[#This Row],[Sales]]</f>
        <v>0.2</v>
      </c>
    </row>
    <row r="13" spans="1:12">
      <c r="A13" t="s">
        <v>19</v>
      </c>
      <c r="B13" t="s">
        <v>39</v>
      </c>
      <c r="C13" t="s">
        <v>17</v>
      </c>
      <c r="D13" t="s">
        <v>14</v>
      </c>
      <c r="E13" s="7">
        <v>470</v>
      </c>
      <c r="F13" s="8">
        <v>6400</v>
      </c>
      <c r="G13" s="8">
        <f t="shared" si="0"/>
        <v>8000</v>
      </c>
      <c r="H13" s="8">
        <f t="shared" si="1"/>
        <v>3760000</v>
      </c>
      <c r="I13" s="8">
        <f t="shared" si="2"/>
        <v>3008000</v>
      </c>
      <c r="J13" s="8">
        <f t="shared" si="3"/>
        <v>752000</v>
      </c>
      <c r="K13" s="9">
        <v>45679</v>
      </c>
      <c r="L13" s="10">
        <f>Table1[[#This Row],[Profit]]/Table1[[#This Row],[Sales]]</f>
        <v>0.2</v>
      </c>
    </row>
    <row r="14" spans="1:12">
      <c r="A14" t="s">
        <v>19</v>
      </c>
      <c r="B14" t="s">
        <v>36</v>
      </c>
      <c r="C14" t="s">
        <v>31</v>
      </c>
      <c r="D14" t="s">
        <v>14</v>
      </c>
      <c r="E14" s="7">
        <v>140</v>
      </c>
      <c r="F14" s="8">
        <v>14100</v>
      </c>
      <c r="G14" s="8">
        <f t="shared" si="0"/>
        <v>17625</v>
      </c>
      <c r="H14" s="8">
        <f t="shared" si="1"/>
        <v>2467500</v>
      </c>
      <c r="I14" s="8">
        <f t="shared" si="2"/>
        <v>1974000</v>
      </c>
      <c r="J14" s="8">
        <f t="shared" si="3"/>
        <v>493500</v>
      </c>
      <c r="K14" s="9">
        <v>45679</v>
      </c>
      <c r="L14" s="10">
        <f>Table1[[#This Row],[Profit]]/Table1[[#This Row],[Sales]]</f>
        <v>0.2</v>
      </c>
    </row>
    <row r="15" spans="1:12">
      <c r="A15" t="s">
        <v>19</v>
      </c>
      <c r="B15" t="s">
        <v>39</v>
      </c>
      <c r="C15" t="s">
        <v>13</v>
      </c>
      <c r="D15" t="s">
        <v>14</v>
      </c>
      <c r="E15" s="7">
        <v>1408</v>
      </c>
      <c r="F15" s="8">
        <v>13800</v>
      </c>
      <c r="G15" s="8">
        <f t="shared" si="0"/>
        <v>17250</v>
      </c>
      <c r="H15" s="8">
        <f t="shared" si="1"/>
        <v>24288000</v>
      </c>
      <c r="I15" s="8">
        <f t="shared" si="2"/>
        <v>19430400</v>
      </c>
      <c r="J15" s="8">
        <f t="shared" si="3"/>
        <v>4857600</v>
      </c>
      <c r="K15" s="9">
        <v>45680</v>
      </c>
      <c r="L15" s="10">
        <f>Table1[[#This Row],[Profit]]/Table1[[#This Row],[Sales]]</f>
        <v>0.2</v>
      </c>
    </row>
    <row r="16" spans="1:12">
      <c r="A16" t="s">
        <v>19</v>
      </c>
      <c r="B16" t="s">
        <v>20</v>
      </c>
      <c r="C16" t="s">
        <v>27</v>
      </c>
      <c r="D16" t="s">
        <v>14</v>
      </c>
      <c r="E16" s="7">
        <v>1865</v>
      </c>
      <c r="F16" s="8">
        <v>15900</v>
      </c>
      <c r="G16" s="8">
        <f t="shared" si="0"/>
        <v>19875</v>
      </c>
      <c r="H16" s="8">
        <f t="shared" si="1"/>
        <v>37066875</v>
      </c>
      <c r="I16" s="8">
        <f t="shared" si="2"/>
        <v>29653500</v>
      </c>
      <c r="J16" s="8">
        <f t="shared" si="3"/>
        <v>7413375</v>
      </c>
      <c r="K16" s="9">
        <v>45682</v>
      </c>
      <c r="L16" s="10">
        <f>Table1[[#This Row],[Profit]]/Table1[[#This Row],[Sales]]</f>
        <v>0.2</v>
      </c>
    </row>
    <row r="17" spans="1:12">
      <c r="A17" t="s">
        <v>19</v>
      </c>
      <c r="B17" t="s">
        <v>62</v>
      </c>
      <c r="C17" t="s">
        <v>63</v>
      </c>
      <c r="D17" t="s">
        <v>14</v>
      </c>
      <c r="E17" s="7">
        <v>708</v>
      </c>
      <c r="F17" s="8">
        <v>8400</v>
      </c>
      <c r="G17" s="8">
        <f t="shared" si="0"/>
        <v>10500</v>
      </c>
      <c r="H17" s="8">
        <f t="shared" si="1"/>
        <v>7434000</v>
      </c>
      <c r="I17" s="8">
        <f t="shared" si="2"/>
        <v>5947200</v>
      </c>
      <c r="J17" s="8">
        <f t="shared" si="3"/>
        <v>1486800</v>
      </c>
      <c r="K17" s="9">
        <v>45683</v>
      </c>
      <c r="L17" s="10">
        <f>Table1[[#This Row],[Profit]]/Table1[[#This Row],[Sales]]</f>
        <v>0.2</v>
      </c>
    </row>
    <row r="18" spans="1:12">
      <c r="A18" t="s">
        <v>19</v>
      </c>
      <c r="B18" t="s">
        <v>51</v>
      </c>
      <c r="C18" t="s">
        <v>13</v>
      </c>
      <c r="D18" t="s">
        <v>14</v>
      </c>
      <c r="E18" s="7">
        <v>1636</v>
      </c>
      <c r="F18" s="8">
        <v>19500</v>
      </c>
      <c r="G18" s="8">
        <f t="shared" si="0"/>
        <v>24375</v>
      </c>
      <c r="H18" s="8">
        <f t="shared" si="1"/>
        <v>39877500</v>
      </c>
      <c r="I18" s="8">
        <f t="shared" si="2"/>
        <v>31902000</v>
      </c>
      <c r="J18" s="8">
        <f t="shared" si="3"/>
        <v>7975500</v>
      </c>
      <c r="K18" s="9">
        <v>45684</v>
      </c>
      <c r="L18" s="10">
        <f>Table1[[#This Row],[Profit]]/Table1[[#This Row],[Sales]]</f>
        <v>0.2</v>
      </c>
    </row>
    <row r="19" spans="1:12">
      <c r="A19" t="s">
        <v>19</v>
      </c>
      <c r="B19" t="s">
        <v>26</v>
      </c>
      <c r="C19" t="s">
        <v>68</v>
      </c>
      <c r="D19" t="s">
        <v>14</v>
      </c>
      <c r="E19" s="7">
        <v>2582</v>
      </c>
      <c r="F19" s="8">
        <v>14100</v>
      </c>
      <c r="G19" s="8">
        <f t="shared" si="0"/>
        <v>17625</v>
      </c>
      <c r="H19" s="8">
        <f t="shared" si="1"/>
        <v>45507750</v>
      </c>
      <c r="I19" s="8">
        <f t="shared" si="2"/>
        <v>36406200</v>
      </c>
      <c r="J19" s="8">
        <f t="shared" si="3"/>
        <v>9101550</v>
      </c>
      <c r="K19" s="9">
        <v>45684</v>
      </c>
      <c r="L19" s="10">
        <f>Table1[[#This Row],[Profit]]/Table1[[#This Row],[Sales]]</f>
        <v>0.2</v>
      </c>
    </row>
    <row r="20" spans="1:12">
      <c r="A20" t="s">
        <v>19</v>
      </c>
      <c r="B20" t="s">
        <v>36</v>
      </c>
      <c r="C20" t="s">
        <v>27</v>
      </c>
      <c r="D20" t="s">
        <v>14</v>
      </c>
      <c r="E20" s="7">
        <v>930</v>
      </c>
      <c r="F20" s="8">
        <v>24300</v>
      </c>
      <c r="G20" s="8">
        <f t="shared" si="0"/>
        <v>30375</v>
      </c>
      <c r="H20" s="8">
        <f t="shared" si="1"/>
        <v>28248750</v>
      </c>
      <c r="I20" s="8">
        <f t="shared" si="2"/>
        <v>22599000</v>
      </c>
      <c r="J20" s="8">
        <f t="shared" si="3"/>
        <v>5649750</v>
      </c>
      <c r="K20" s="9">
        <v>45686</v>
      </c>
      <c r="L20" s="10">
        <f>Table1[[#This Row],[Profit]]/Table1[[#This Row],[Sales]]</f>
        <v>0.2</v>
      </c>
    </row>
    <row r="21" spans="1:12">
      <c r="A21" t="s">
        <v>19</v>
      </c>
      <c r="B21" t="s">
        <v>62</v>
      </c>
      <c r="C21" t="s">
        <v>63</v>
      </c>
      <c r="D21" t="s">
        <v>14</v>
      </c>
      <c r="E21" s="7">
        <v>2282</v>
      </c>
      <c r="F21" s="8">
        <v>3800</v>
      </c>
      <c r="G21" s="8">
        <f t="shared" si="0"/>
        <v>4750</v>
      </c>
      <c r="H21" s="8">
        <f t="shared" si="1"/>
        <v>10839500</v>
      </c>
      <c r="I21" s="8">
        <f t="shared" si="2"/>
        <v>8671600</v>
      </c>
      <c r="J21" s="8">
        <f t="shared" si="3"/>
        <v>2167900</v>
      </c>
      <c r="K21" s="9">
        <v>45688</v>
      </c>
      <c r="L21" s="10">
        <f>Table1[[#This Row],[Profit]]/Table1[[#This Row],[Sales]]</f>
        <v>0.2</v>
      </c>
    </row>
    <row r="22" spans="1:12">
      <c r="A22" t="s">
        <v>19</v>
      </c>
      <c r="B22" t="s">
        <v>20</v>
      </c>
      <c r="C22" t="s">
        <v>34</v>
      </c>
      <c r="D22" t="s">
        <v>14</v>
      </c>
      <c r="E22" s="7">
        <v>2455</v>
      </c>
      <c r="F22" s="8">
        <v>17200</v>
      </c>
      <c r="G22" s="8">
        <f t="shared" si="0"/>
        <v>21500</v>
      </c>
      <c r="H22" s="8">
        <f t="shared" si="1"/>
        <v>52782500</v>
      </c>
      <c r="I22" s="8">
        <f t="shared" si="2"/>
        <v>42226000</v>
      </c>
      <c r="J22" s="8">
        <f t="shared" si="3"/>
        <v>10556500</v>
      </c>
      <c r="K22" s="9">
        <v>45688</v>
      </c>
      <c r="L22" s="10">
        <f>Table1[[#This Row],[Profit]]/Table1[[#This Row],[Sales]]</f>
        <v>0.2</v>
      </c>
    </row>
    <row r="23" spans="1:12">
      <c r="A23" t="s">
        <v>19</v>
      </c>
      <c r="B23" t="s">
        <v>62</v>
      </c>
      <c r="C23" t="s">
        <v>68</v>
      </c>
      <c r="D23" t="s">
        <v>14</v>
      </c>
      <c r="E23" s="7">
        <v>257</v>
      </c>
      <c r="F23" s="8">
        <v>17700</v>
      </c>
      <c r="G23" s="8">
        <f t="shared" si="0"/>
        <v>22125</v>
      </c>
      <c r="H23" s="8">
        <f t="shared" si="1"/>
        <v>5686125</v>
      </c>
      <c r="I23" s="8">
        <f t="shared" si="2"/>
        <v>4548900</v>
      </c>
      <c r="J23" s="8">
        <f t="shared" si="3"/>
        <v>1137225</v>
      </c>
      <c r="K23" s="9">
        <v>45693</v>
      </c>
      <c r="L23" s="10">
        <f>Table1[[#This Row],[Profit]]/Table1[[#This Row],[Sales]]</f>
        <v>0.2</v>
      </c>
    </row>
    <row r="24" spans="1:12">
      <c r="A24" t="s">
        <v>19</v>
      </c>
      <c r="B24" t="s">
        <v>39</v>
      </c>
      <c r="C24" t="s">
        <v>68</v>
      </c>
      <c r="D24" t="s">
        <v>14</v>
      </c>
      <c r="E24" s="7">
        <v>2753</v>
      </c>
      <c r="F24" s="8">
        <v>10900</v>
      </c>
      <c r="G24" s="8">
        <f t="shared" si="0"/>
        <v>13625</v>
      </c>
      <c r="H24" s="8">
        <f t="shared" si="1"/>
        <v>37509625</v>
      </c>
      <c r="I24" s="8">
        <f t="shared" si="2"/>
        <v>30007700</v>
      </c>
      <c r="J24" s="8">
        <f t="shared" si="3"/>
        <v>7501925</v>
      </c>
      <c r="K24" s="9">
        <v>45695</v>
      </c>
      <c r="L24" s="10">
        <f>Table1[[#This Row],[Profit]]/Table1[[#This Row],[Sales]]</f>
        <v>0.2</v>
      </c>
    </row>
    <row r="25" spans="1:12">
      <c r="A25" t="s">
        <v>19</v>
      </c>
      <c r="B25" t="s">
        <v>36</v>
      </c>
      <c r="C25" t="s">
        <v>27</v>
      </c>
      <c r="D25" t="s">
        <v>14</v>
      </c>
      <c r="E25" s="7">
        <v>1604</v>
      </c>
      <c r="F25" s="8">
        <v>8700</v>
      </c>
      <c r="G25" s="8">
        <f t="shared" si="0"/>
        <v>10875</v>
      </c>
      <c r="H25" s="8">
        <f t="shared" si="1"/>
        <v>17443500</v>
      </c>
      <c r="I25" s="8">
        <f t="shared" si="2"/>
        <v>13954800</v>
      </c>
      <c r="J25" s="8">
        <f t="shared" si="3"/>
        <v>3488700</v>
      </c>
      <c r="K25" s="9">
        <v>45697</v>
      </c>
      <c r="L25" s="10">
        <f>Table1[[#This Row],[Profit]]/Table1[[#This Row],[Sales]]</f>
        <v>0.2</v>
      </c>
    </row>
    <row r="26" spans="1:12">
      <c r="A26" t="s">
        <v>19</v>
      </c>
      <c r="B26" t="s">
        <v>88</v>
      </c>
      <c r="C26" t="s">
        <v>17</v>
      </c>
      <c r="D26" t="s">
        <v>14</v>
      </c>
      <c r="E26" s="7">
        <v>1054</v>
      </c>
      <c r="F26" s="8">
        <v>2600</v>
      </c>
      <c r="G26" s="8">
        <f t="shared" si="0"/>
        <v>3250</v>
      </c>
      <c r="H26" s="8">
        <f t="shared" si="1"/>
        <v>3425500</v>
      </c>
      <c r="I26" s="8">
        <f t="shared" si="2"/>
        <v>2740400</v>
      </c>
      <c r="J26" s="8">
        <f t="shared" si="3"/>
        <v>685100</v>
      </c>
      <c r="K26" s="9">
        <v>45697</v>
      </c>
      <c r="L26" s="10">
        <f>Table1[[#This Row],[Profit]]/Table1[[#This Row],[Sales]]</f>
        <v>0.2</v>
      </c>
    </row>
    <row r="27" spans="1:12">
      <c r="A27" t="s">
        <v>19</v>
      </c>
      <c r="B27" t="s">
        <v>88</v>
      </c>
      <c r="C27" t="s">
        <v>21</v>
      </c>
      <c r="D27" t="s">
        <v>14</v>
      </c>
      <c r="E27" s="7">
        <v>1511</v>
      </c>
      <c r="F27" s="8">
        <v>5800</v>
      </c>
      <c r="G27" s="8">
        <f t="shared" si="0"/>
        <v>7250</v>
      </c>
      <c r="H27" s="8">
        <f t="shared" si="1"/>
        <v>10954750</v>
      </c>
      <c r="I27" s="8">
        <f t="shared" si="2"/>
        <v>8763800</v>
      </c>
      <c r="J27" s="8">
        <f t="shared" si="3"/>
        <v>2190950</v>
      </c>
      <c r="K27" s="9">
        <v>45700</v>
      </c>
      <c r="L27" s="10">
        <f>Table1[[#This Row],[Profit]]/Table1[[#This Row],[Sales]]</f>
        <v>0.2</v>
      </c>
    </row>
    <row r="28" spans="1:12">
      <c r="A28" t="s">
        <v>19</v>
      </c>
      <c r="B28" t="s">
        <v>20</v>
      </c>
      <c r="C28" t="s">
        <v>63</v>
      </c>
      <c r="D28" t="s">
        <v>14</v>
      </c>
      <c r="E28" s="7">
        <v>2175</v>
      </c>
      <c r="F28" s="8">
        <v>2200</v>
      </c>
      <c r="G28" s="8">
        <f t="shared" si="0"/>
        <v>2750</v>
      </c>
      <c r="H28" s="8">
        <f t="shared" si="1"/>
        <v>5981250</v>
      </c>
      <c r="I28" s="8">
        <f t="shared" si="2"/>
        <v>4785000</v>
      </c>
      <c r="J28" s="8">
        <f t="shared" si="3"/>
        <v>1196250</v>
      </c>
      <c r="K28" s="9">
        <v>45702</v>
      </c>
      <c r="L28" s="10">
        <f>Table1[[#This Row],[Profit]]/Table1[[#This Row],[Sales]]</f>
        <v>0.2</v>
      </c>
    </row>
    <row r="29" spans="1:12">
      <c r="A29" t="s">
        <v>19</v>
      </c>
      <c r="B29" t="s">
        <v>39</v>
      </c>
      <c r="C29" t="s">
        <v>13</v>
      </c>
      <c r="D29" t="s">
        <v>14</v>
      </c>
      <c r="E29" s="7">
        <v>1952</v>
      </c>
      <c r="F29" s="8">
        <v>21000</v>
      </c>
      <c r="G29" s="8">
        <f t="shared" si="0"/>
        <v>26250</v>
      </c>
      <c r="H29" s="8">
        <f t="shared" si="1"/>
        <v>51240000</v>
      </c>
      <c r="I29" s="8">
        <f t="shared" si="2"/>
        <v>40992000</v>
      </c>
      <c r="J29" s="8">
        <f t="shared" si="3"/>
        <v>10248000</v>
      </c>
      <c r="K29" s="9">
        <v>45703</v>
      </c>
      <c r="L29" s="10">
        <f>Table1[[#This Row],[Profit]]/Table1[[#This Row],[Sales]]</f>
        <v>0.2</v>
      </c>
    </row>
    <row r="30" spans="1:12">
      <c r="A30" t="s">
        <v>19</v>
      </c>
      <c r="B30" t="s">
        <v>62</v>
      </c>
      <c r="C30" t="s">
        <v>63</v>
      </c>
      <c r="D30" t="s">
        <v>14</v>
      </c>
      <c r="E30" s="7">
        <v>786</v>
      </c>
      <c r="F30" s="8">
        <v>6000</v>
      </c>
      <c r="G30" s="8">
        <f t="shared" si="0"/>
        <v>7500</v>
      </c>
      <c r="H30" s="8">
        <f t="shared" si="1"/>
        <v>5895000</v>
      </c>
      <c r="I30" s="8">
        <f t="shared" si="2"/>
        <v>4716000</v>
      </c>
      <c r="J30" s="8">
        <f t="shared" si="3"/>
        <v>1179000</v>
      </c>
      <c r="K30" s="9">
        <v>45704</v>
      </c>
      <c r="L30" s="10">
        <f>Table1[[#This Row],[Profit]]/Table1[[#This Row],[Sales]]</f>
        <v>0.2</v>
      </c>
    </row>
    <row r="31" spans="1:12">
      <c r="A31" t="s">
        <v>19</v>
      </c>
      <c r="B31" t="s">
        <v>39</v>
      </c>
      <c r="C31" t="s">
        <v>34</v>
      </c>
      <c r="D31" t="s">
        <v>14</v>
      </c>
      <c r="E31" s="7">
        <v>997</v>
      </c>
      <c r="F31" s="8">
        <v>7000</v>
      </c>
      <c r="G31" s="8">
        <f t="shared" si="0"/>
        <v>8750</v>
      </c>
      <c r="H31" s="8">
        <f t="shared" si="1"/>
        <v>8723750</v>
      </c>
      <c r="I31" s="8">
        <f t="shared" si="2"/>
        <v>6979000</v>
      </c>
      <c r="J31" s="8">
        <f t="shared" si="3"/>
        <v>1744750</v>
      </c>
      <c r="K31" s="9">
        <v>45706</v>
      </c>
      <c r="L31" s="10">
        <f>Table1[[#This Row],[Profit]]/Table1[[#This Row],[Sales]]</f>
        <v>0.2</v>
      </c>
    </row>
    <row r="32" spans="1:12">
      <c r="A32" t="s">
        <v>19</v>
      </c>
      <c r="B32" t="s">
        <v>36</v>
      </c>
      <c r="C32" t="s">
        <v>13</v>
      </c>
      <c r="D32" t="s">
        <v>14</v>
      </c>
      <c r="E32" s="7">
        <v>1029</v>
      </c>
      <c r="F32" s="8">
        <v>17500</v>
      </c>
      <c r="G32" s="8">
        <f t="shared" si="0"/>
        <v>21875</v>
      </c>
      <c r="H32" s="8">
        <f t="shared" si="1"/>
        <v>22509375</v>
      </c>
      <c r="I32" s="8">
        <f t="shared" si="2"/>
        <v>18007500</v>
      </c>
      <c r="J32" s="8">
        <f t="shared" si="3"/>
        <v>4501875</v>
      </c>
      <c r="K32" s="9">
        <v>45706</v>
      </c>
      <c r="L32" s="10">
        <f>Table1[[#This Row],[Profit]]/Table1[[#This Row],[Sales]]</f>
        <v>0.2</v>
      </c>
    </row>
    <row r="33" spans="1:12">
      <c r="A33" t="s">
        <v>19</v>
      </c>
      <c r="B33" t="s">
        <v>39</v>
      </c>
      <c r="C33" t="s">
        <v>27</v>
      </c>
      <c r="D33" t="s">
        <v>14</v>
      </c>
      <c r="E33" s="7">
        <v>675</v>
      </c>
      <c r="F33" s="8">
        <v>4400</v>
      </c>
      <c r="G33" s="8">
        <f t="shared" si="0"/>
        <v>5500</v>
      </c>
      <c r="H33" s="8">
        <f t="shared" si="1"/>
        <v>3712500</v>
      </c>
      <c r="I33" s="8">
        <f t="shared" si="2"/>
        <v>2970000</v>
      </c>
      <c r="J33" s="8">
        <f t="shared" si="3"/>
        <v>742500</v>
      </c>
      <c r="K33" s="9">
        <v>45707</v>
      </c>
      <c r="L33" s="10">
        <f>Table1[[#This Row],[Profit]]/Table1[[#This Row],[Sales]]</f>
        <v>0.2</v>
      </c>
    </row>
    <row r="34" spans="1:12">
      <c r="A34" t="s">
        <v>19</v>
      </c>
      <c r="B34" t="s">
        <v>98</v>
      </c>
      <c r="C34" t="s">
        <v>63</v>
      </c>
      <c r="D34" t="s">
        <v>14</v>
      </c>
      <c r="E34" s="7">
        <v>289</v>
      </c>
      <c r="F34" s="8">
        <v>8400</v>
      </c>
      <c r="G34" s="8">
        <f t="shared" si="0"/>
        <v>10500</v>
      </c>
      <c r="H34" s="8">
        <f t="shared" si="1"/>
        <v>3034500</v>
      </c>
      <c r="I34" s="8">
        <f t="shared" si="2"/>
        <v>2427600</v>
      </c>
      <c r="J34" s="8">
        <f t="shared" si="3"/>
        <v>606900</v>
      </c>
      <c r="K34" s="9">
        <v>45707</v>
      </c>
      <c r="L34" s="10">
        <f>Table1[[#This Row],[Profit]]/Table1[[#This Row],[Sales]]</f>
        <v>0.2</v>
      </c>
    </row>
    <row r="35" spans="1:12">
      <c r="A35" t="s">
        <v>19</v>
      </c>
      <c r="B35" t="s">
        <v>36</v>
      </c>
      <c r="C35" t="s">
        <v>37</v>
      </c>
      <c r="D35" t="s">
        <v>14</v>
      </c>
      <c r="E35" s="7">
        <v>716</v>
      </c>
      <c r="F35" s="8">
        <v>2000</v>
      </c>
      <c r="G35" s="8">
        <f t="shared" si="0"/>
        <v>2500</v>
      </c>
      <c r="H35" s="8">
        <f t="shared" si="1"/>
        <v>1790000</v>
      </c>
      <c r="I35" s="8">
        <f t="shared" si="2"/>
        <v>1432000</v>
      </c>
      <c r="J35" s="8">
        <f t="shared" si="3"/>
        <v>358000</v>
      </c>
      <c r="K35" s="9">
        <v>45708</v>
      </c>
      <c r="L35" s="10">
        <f>Table1[[#This Row],[Profit]]/Table1[[#This Row],[Sales]]</f>
        <v>0.2</v>
      </c>
    </row>
    <row r="36" spans="1:12">
      <c r="A36" t="s">
        <v>19</v>
      </c>
      <c r="B36" t="s">
        <v>98</v>
      </c>
      <c r="C36" t="s">
        <v>21</v>
      </c>
      <c r="D36" t="s">
        <v>14</v>
      </c>
      <c r="E36" s="7">
        <v>2838</v>
      </c>
      <c r="F36" s="8">
        <v>19900</v>
      </c>
      <c r="G36" s="8">
        <f t="shared" si="0"/>
        <v>24875</v>
      </c>
      <c r="H36" s="8">
        <f t="shared" si="1"/>
        <v>70595250</v>
      </c>
      <c r="I36" s="8">
        <f t="shared" si="2"/>
        <v>56476200</v>
      </c>
      <c r="J36" s="8">
        <f t="shared" si="3"/>
        <v>14119050</v>
      </c>
      <c r="K36" s="9">
        <v>45709</v>
      </c>
      <c r="L36" s="10">
        <f>Table1[[#This Row],[Profit]]/Table1[[#This Row],[Sales]]</f>
        <v>0.2</v>
      </c>
    </row>
    <row r="37" spans="1:12">
      <c r="A37" t="s">
        <v>19</v>
      </c>
      <c r="B37" t="s">
        <v>20</v>
      </c>
      <c r="C37" t="s">
        <v>34</v>
      </c>
      <c r="D37" t="s">
        <v>14</v>
      </c>
      <c r="E37" s="7">
        <v>1531</v>
      </c>
      <c r="F37" s="8">
        <v>6700</v>
      </c>
      <c r="G37" s="8">
        <f t="shared" si="0"/>
        <v>8375</v>
      </c>
      <c r="H37" s="8">
        <f t="shared" si="1"/>
        <v>12822125</v>
      </c>
      <c r="I37" s="8">
        <f t="shared" si="2"/>
        <v>10257700</v>
      </c>
      <c r="J37" s="8">
        <f t="shared" si="3"/>
        <v>2564425</v>
      </c>
      <c r="K37" s="9">
        <v>45712</v>
      </c>
      <c r="L37" s="10">
        <f>Table1[[#This Row],[Profit]]/Table1[[#This Row],[Sales]]</f>
        <v>0.2</v>
      </c>
    </row>
    <row r="38" spans="1:12">
      <c r="A38" t="s">
        <v>19</v>
      </c>
      <c r="B38" t="s">
        <v>20</v>
      </c>
      <c r="C38" t="s">
        <v>21</v>
      </c>
      <c r="D38" t="s">
        <v>14</v>
      </c>
      <c r="E38" s="7">
        <v>124</v>
      </c>
      <c r="F38" s="8">
        <v>4100</v>
      </c>
      <c r="G38" s="8">
        <f t="shared" si="0"/>
        <v>5125</v>
      </c>
      <c r="H38" s="8">
        <f t="shared" si="1"/>
        <v>635500</v>
      </c>
      <c r="I38" s="8">
        <f t="shared" si="2"/>
        <v>508400</v>
      </c>
      <c r="J38" s="8">
        <f t="shared" si="3"/>
        <v>127100</v>
      </c>
      <c r="K38" s="9">
        <v>45717</v>
      </c>
      <c r="L38" s="10">
        <f>Table1[[#This Row],[Profit]]/Table1[[#This Row],[Sales]]</f>
        <v>0.2</v>
      </c>
    </row>
    <row r="39" spans="1:12">
      <c r="A39" t="s">
        <v>19</v>
      </c>
      <c r="B39" t="s">
        <v>26</v>
      </c>
      <c r="C39" t="s">
        <v>79</v>
      </c>
      <c r="D39" t="s">
        <v>14</v>
      </c>
      <c r="E39" s="7">
        <v>1610</v>
      </c>
      <c r="F39" s="8">
        <v>13300</v>
      </c>
      <c r="G39" s="8">
        <f t="shared" si="0"/>
        <v>16625</v>
      </c>
      <c r="H39" s="8">
        <f t="shared" si="1"/>
        <v>26766250</v>
      </c>
      <c r="I39" s="8">
        <f t="shared" si="2"/>
        <v>21413000</v>
      </c>
      <c r="J39" s="8">
        <f t="shared" si="3"/>
        <v>5353250</v>
      </c>
      <c r="K39" s="9">
        <v>45718</v>
      </c>
      <c r="L39" s="10">
        <f>Table1[[#This Row],[Profit]]/Table1[[#This Row],[Sales]]</f>
        <v>0.2</v>
      </c>
    </row>
    <row r="40" spans="1:12">
      <c r="A40" t="s">
        <v>19</v>
      </c>
      <c r="B40" t="s">
        <v>20</v>
      </c>
      <c r="C40" t="s">
        <v>17</v>
      </c>
      <c r="D40" t="s">
        <v>14</v>
      </c>
      <c r="E40" s="7">
        <v>127</v>
      </c>
      <c r="F40" s="8">
        <v>8600</v>
      </c>
      <c r="G40" s="8">
        <f t="shared" si="0"/>
        <v>10750</v>
      </c>
      <c r="H40" s="8">
        <f t="shared" si="1"/>
        <v>1365250</v>
      </c>
      <c r="I40" s="8">
        <f t="shared" si="2"/>
        <v>1092200</v>
      </c>
      <c r="J40" s="8">
        <f t="shared" si="3"/>
        <v>273050</v>
      </c>
      <c r="K40" s="9">
        <v>45718</v>
      </c>
      <c r="L40" s="10">
        <f>Table1[[#This Row],[Profit]]/Table1[[#This Row],[Sales]]</f>
        <v>0.2</v>
      </c>
    </row>
    <row r="41" spans="1:12">
      <c r="A41" t="s">
        <v>19</v>
      </c>
      <c r="B41" t="s">
        <v>98</v>
      </c>
      <c r="C41" t="s">
        <v>63</v>
      </c>
      <c r="D41" t="s">
        <v>14</v>
      </c>
      <c r="E41" s="7">
        <v>2571</v>
      </c>
      <c r="F41" s="8">
        <v>23200</v>
      </c>
      <c r="G41" s="8">
        <f t="shared" si="0"/>
        <v>29000</v>
      </c>
      <c r="H41" s="8">
        <f t="shared" si="1"/>
        <v>74559000</v>
      </c>
      <c r="I41" s="8">
        <f t="shared" si="2"/>
        <v>59647200</v>
      </c>
      <c r="J41" s="8">
        <f t="shared" si="3"/>
        <v>14911800</v>
      </c>
      <c r="K41" s="9">
        <v>45723</v>
      </c>
      <c r="L41" s="10">
        <f>Table1[[#This Row],[Profit]]/Table1[[#This Row],[Sales]]</f>
        <v>0.2</v>
      </c>
    </row>
    <row r="42" spans="1:12">
      <c r="A42" t="s">
        <v>19</v>
      </c>
      <c r="B42" t="s">
        <v>88</v>
      </c>
      <c r="C42" t="s">
        <v>27</v>
      </c>
      <c r="D42" t="s">
        <v>14</v>
      </c>
      <c r="E42" s="7">
        <v>2839</v>
      </c>
      <c r="F42" s="8">
        <v>12700</v>
      </c>
      <c r="G42" s="8">
        <f t="shared" si="0"/>
        <v>15875</v>
      </c>
      <c r="H42" s="8">
        <f t="shared" si="1"/>
        <v>45069125</v>
      </c>
      <c r="I42" s="8">
        <f t="shared" si="2"/>
        <v>36055300</v>
      </c>
      <c r="J42" s="8">
        <f t="shared" si="3"/>
        <v>9013825</v>
      </c>
      <c r="K42" s="9">
        <v>45723</v>
      </c>
      <c r="L42" s="10">
        <f>Table1[[#This Row],[Profit]]/Table1[[#This Row],[Sales]]</f>
        <v>0.2</v>
      </c>
    </row>
    <row r="43" spans="1:12">
      <c r="A43" t="s">
        <v>19</v>
      </c>
      <c r="B43" t="s">
        <v>97</v>
      </c>
      <c r="C43" t="s">
        <v>21</v>
      </c>
      <c r="D43" t="s">
        <v>14</v>
      </c>
      <c r="E43" s="7">
        <v>2073</v>
      </c>
      <c r="F43" s="8">
        <v>15100</v>
      </c>
      <c r="G43" s="8">
        <f t="shared" si="0"/>
        <v>18875</v>
      </c>
      <c r="H43" s="8">
        <f t="shared" si="1"/>
        <v>39127875</v>
      </c>
      <c r="I43" s="8">
        <f t="shared" si="2"/>
        <v>31302300</v>
      </c>
      <c r="J43" s="8">
        <f t="shared" si="3"/>
        <v>7825575</v>
      </c>
      <c r="K43" s="9">
        <v>45726</v>
      </c>
      <c r="L43" s="10">
        <f>Table1[[#This Row],[Profit]]/Table1[[#This Row],[Sales]]</f>
        <v>0.2</v>
      </c>
    </row>
    <row r="44" spans="1:12">
      <c r="A44" t="s">
        <v>19</v>
      </c>
      <c r="B44" t="s">
        <v>20</v>
      </c>
      <c r="C44" t="s">
        <v>17</v>
      </c>
      <c r="D44" t="s">
        <v>14</v>
      </c>
      <c r="E44" s="7">
        <v>1673</v>
      </c>
      <c r="F44" s="8">
        <v>12100</v>
      </c>
      <c r="G44" s="8">
        <f t="shared" si="0"/>
        <v>15125</v>
      </c>
      <c r="H44" s="8">
        <f t="shared" si="1"/>
        <v>25304125</v>
      </c>
      <c r="I44" s="8">
        <f t="shared" si="2"/>
        <v>20243300</v>
      </c>
      <c r="J44" s="8">
        <f t="shared" si="3"/>
        <v>5060825</v>
      </c>
      <c r="K44" s="9">
        <v>45728</v>
      </c>
      <c r="L44" s="10">
        <f>Table1[[#This Row],[Profit]]/Table1[[#This Row],[Sales]]</f>
        <v>0.2</v>
      </c>
    </row>
    <row r="45" spans="1:12">
      <c r="A45" t="s">
        <v>19</v>
      </c>
      <c r="B45" t="s">
        <v>98</v>
      </c>
      <c r="C45" t="s">
        <v>13</v>
      </c>
      <c r="D45" t="s">
        <v>14</v>
      </c>
      <c r="E45" s="7">
        <v>1227</v>
      </c>
      <c r="F45" s="8">
        <v>4100</v>
      </c>
      <c r="G45" s="8">
        <f t="shared" si="0"/>
        <v>5125</v>
      </c>
      <c r="H45" s="8">
        <f t="shared" si="1"/>
        <v>6288375</v>
      </c>
      <c r="I45" s="8">
        <f t="shared" si="2"/>
        <v>5030700</v>
      </c>
      <c r="J45" s="8">
        <f t="shared" si="3"/>
        <v>1257675</v>
      </c>
      <c r="K45" s="9">
        <v>45729</v>
      </c>
      <c r="L45" s="10">
        <f>Table1[[#This Row],[Profit]]/Table1[[#This Row],[Sales]]</f>
        <v>0.2</v>
      </c>
    </row>
    <row r="46" spans="1:12">
      <c r="A46" t="s">
        <v>19</v>
      </c>
      <c r="B46" t="s">
        <v>26</v>
      </c>
      <c r="C46" t="s">
        <v>17</v>
      </c>
      <c r="D46" t="s">
        <v>14</v>
      </c>
      <c r="E46" s="7">
        <v>2765</v>
      </c>
      <c r="F46" s="8">
        <v>4600</v>
      </c>
      <c r="G46" s="8">
        <f t="shared" si="0"/>
        <v>5750</v>
      </c>
      <c r="H46" s="8">
        <f t="shared" si="1"/>
        <v>15898750</v>
      </c>
      <c r="I46" s="8">
        <f t="shared" si="2"/>
        <v>12719000</v>
      </c>
      <c r="J46" s="8">
        <f t="shared" si="3"/>
        <v>3179750</v>
      </c>
      <c r="K46" s="9">
        <v>45729</v>
      </c>
      <c r="L46" s="10">
        <f>Table1[[#This Row],[Profit]]/Table1[[#This Row],[Sales]]</f>
        <v>0.2</v>
      </c>
    </row>
    <row r="47" spans="1:12">
      <c r="A47" t="s">
        <v>19</v>
      </c>
      <c r="B47" t="s">
        <v>62</v>
      </c>
      <c r="C47" t="s">
        <v>17</v>
      </c>
      <c r="D47" t="s">
        <v>14</v>
      </c>
      <c r="E47" s="7">
        <v>2109</v>
      </c>
      <c r="F47" s="8">
        <v>21700</v>
      </c>
      <c r="G47" s="8">
        <f t="shared" si="0"/>
        <v>27125</v>
      </c>
      <c r="H47" s="8">
        <f t="shared" si="1"/>
        <v>57206625</v>
      </c>
      <c r="I47" s="8">
        <f t="shared" si="2"/>
        <v>45765300</v>
      </c>
      <c r="J47" s="8">
        <f t="shared" si="3"/>
        <v>11441325</v>
      </c>
      <c r="K47" s="9">
        <v>45730</v>
      </c>
      <c r="L47" s="10">
        <f>Table1[[#This Row],[Profit]]/Table1[[#This Row],[Sales]]</f>
        <v>0.2</v>
      </c>
    </row>
    <row r="48" spans="1:12">
      <c r="A48" t="s">
        <v>19</v>
      </c>
      <c r="B48" t="s">
        <v>97</v>
      </c>
      <c r="C48" t="s">
        <v>79</v>
      </c>
      <c r="D48" t="s">
        <v>14</v>
      </c>
      <c r="E48" s="7">
        <v>2073</v>
      </c>
      <c r="F48" s="8">
        <v>1700</v>
      </c>
      <c r="G48" s="8">
        <f t="shared" si="0"/>
        <v>2125</v>
      </c>
      <c r="H48" s="8">
        <f t="shared" si="1"/>
        <v>4405125</v>
      </c>
      <c r="I48" s="8">
        <f t="shared" si="2"/>
        <v>3524100</v>
      </c>
      <c r="J48" s="8">
        <f t="shared" si="3"/>
        <v>881025</v>
      </c>
      <c r="K48" s="9">
        <v>45731</v>
      </c>
      <c r="L48" s="10">
        <f>Table1[[#This Row],[Profit]]/Table1[[#This Row],[Sales]]</f>
        <v>0.2</v>
      </c>
    </row>
    <row r="49" spans="1:12">
      <c r="A49" t="s">
        <v>19</v>
      </c>
      <c r="B49" t="s">
        <v>51</v>
      </c>
      <c r="C49" t="s">
        <v>17</v>
      </c>
      <c r="D49" t="s">
        <v>14</v>
      </c>
      <c r="E49" s="7">
        <v>753</v>
      </c>
      <c r="F49" s="8">
        <v>2300</v>
      </c>
      <c r="G49" s="8">
        <f t="shared" si="0"/>
        <v>2875</v>
      </c>
      <c r="H49" s="8">
        <f t="shared" si="1"/>
        <v>2164875</v>
      </c>
      <c r="I49" s="8">
        <f t="shared" si="2"/>
        <v>1731900</v>
      </c>
      <c r="J49" s="8">
        <f t="shared" si="3"/>
        <v>432975</v>
      </c>
      <c r="K49" s="9">
        <v>45733</v>
      </c>
      <c r="L49" s="10">
        <f>Table1[[#This Row],[Profit]]/Table1[[#This Row],[Sales]]</f>
        <v>0.2</v>
      </c>
    </row>
    <row r="50" spans="1:12">
      <c r="A50" t="s">
        <v>19</v>
      </c>
      <c r="B50" t="s">
        <v>88</v>
      </c>
      <c r="C50" t="s">
        <v>68</v>
      </c>
      <c r="D50" t="s">
        <v>14</v>
      </c>
      <c r="E50" s="7">
        <v>2400</v>
      </c>
      <c r="F50" s="8">
        <v>12300</v>
      </c>
      <c r="G50" s="8">
        <f t="shared" si="0"/>
        <v>15375</v>
      </c>
      <c r="H50" s="8">
        <f t="shared" si="1"/>
        <v>36900000</v>
      </c>
      <c r="I50" s="8">
        <f t="shared" si="2"/>
        <v>29520000</v>
      </c>
      <c r="J50" s="8">
        <f t="shared" si="3"/>
        <v>7380000</v>
      </c>
      <c r="K50" s="9">
        <v>45734</v>
      </c>
      <c r="L50" s="10">
        <f>Table1[[#This Row],[Profit]]/Table1[[#This Row],[Sales]]</f>
        <v>0.2</v>
      </c>
    </row>
    <row r="51" spans="1:12">
      <c r="A51" t="s">
        <v>19</v>
      </c>
      <c r="B51" t="s">
        <v>36</v>
      </c>
      <c r="C51" t="s">
        <v>34</v>
      </c>
      <c r="D51" t="s">
        <v>14</v>
      </c>
      <c r="E51" s="7">
        <v>803</v>
      </c>
      <c r="F51" s="8">
        <v>18000</v>
      </c>
      <c r="G51" s="8">
        <f t="shared" si="0"/>
        <v>22500</v>
      </c>
      <c r="H51" s="8">
        <f t="shared" si="1"/>
        <v>18067500</v>
      </c>
      <c r="I51" s="8">
        <f t="shared" si="2"/>
        <v>14454000</v>
      </c>
      <c r="J51" s="8">
        <f t="shared" si="3"/>
        <v>3613500</v>
      </c>
      <c r="K51" s="9">
        <v>45736</v>
      </c>
      <c r="L51" s="10">
        <f>Table1[[#This Row],[Profit]]/Table1[[#This Row],[Sales]]</f>
        <v>0.2</v>
      </c>
    </row>
    <row r="52" spans="1:12">
      <c r="A52" t="s">
        <v>19</v>
      </c>
      <c r="B52" t="s">
        <v>62</v>
      </c>
      <c r="C52" t="s">
        <v>68</v>
      </c>
      <c r="D52" t="s">
        <v>14</v>
      </c>
      <c r="E52" s="7">
        <v>1383</v>
      </c>
      <c r="F52" s="8">
        <v>22800</v>
      </c>
      <c r="G52" s="8">
        <f t="shared" si="0"/>
        <v>28500</v>
      </c>
      <c r="H52" s="8">
        <f t="shared" si="1"/>
        <v>39415500</v>
      </c>
      <c r="I52" s="8">
        <f t="shared" si="2"/>
        <v>31532400</v>
      </c>
      <c r="J52" s="8">
        <f t="shared" si="3"/>
        <v>7883100</v>
      </c>
      <c r="K52" s="9">
        <v>45737</v>
      </c>
      <c r="L52" s="10">
        <f>Table1[[#This Row],[Profit]]/Table1[[#This Row],[Sales]]</f>
        <v>0.2</v>
      </c>
    </row>
    <row r="53" spans="1:12">
      <c r="A53" t="s">
        <v>19</v>
      </c>
      <c r="B53" t="s">
        <v>98</v>
      </c>
      <c r="C53" t="s">
        <v>21</v>
      </c>
      <c r="D53" t="s">
        <v>14</v>
      </c>
      <c r="E53" s="7">
        <v>283</v>
      </c>
      <c r="F53" s="8">
        <v>21100</v>
      </c>
      <c r="G53" s="8">
        <f t="shared" si="0"/>
        <v>26375</v>
      </c>
      <c r="H53" s="8">
        <f t="shared" si="1"/>
        <v>7464125</v>
      </c>
      <c r="I53" s="8">
        <f t="shared" si="2"/>
        <v>5971300</v>
      </c>
      <c r="J53" s="8">
        <f t="shared" si="3"/>
        <v>1492825</v>
      </c>
      <c r="K53" s="9">
        <v>45738</v>
      </c>
      <c r="L53" s="10">
        <f>Table1[[#This Row],[Profit]]/Table1[[#This Row],[Sales]]</f>
        <v>0.2</v>
      </c>
    </row>
    <row r="54" spans="1:12">
      <c r="A54" t="s">
        <v>19</v>
      </c>
      <c r="B54" t="s">
        <v>36</v>
      </c>
      <c r="C54" t="s">
        <v>37</v>
      </c>
      <c r="D54" t="s">
        <v>14</v>
      </c>
      <c r="E54" s="7">
        <v>2240</v>
      </c>
      <c r="F54" s="8">
        <v>21100</v>
      </c>
      <c r="G54" s="8">
        <f t="shared" si="0"/>
        <v>26375</v>
      </c>
      <c r="H54" s="8">
        <f t="shared" si="1"/>
        <v>59080000</v>
      </c>
      <c r="I54" s="8">
        <f t="shared" si="2"/>
        <v>47264000</v>
      </c>
      <c r="J54" s="8">
        <f t="shared" si="3"/>
        <v>11816000</v>
      </c>
      <c r="K54" s="9">
        <v>45739</v>
      </c>
      <c r="L54" s="10">
        <f>Table1[[#This Row],[Profit]]/Table1[[#This Row],[Sales]]</f>
        <v>0.2</v>
      </c>
    </row>
    <row r="55" spans="1:12">
      <c r="A55" t="s">
        <v>19</v>
      </c>
      <c r="B55" t="s">
        <v>26</v>
      </c>
      <c r="C55" t="s">
        <v>13</v>
      </c>
      <c r="D55" t="s">
        <v>14</v>
      </c>
      <c r="E55" s="7">
        <v>2457</v>
      </c>
      <c r="F55" s="8">
        <v>22700</v>
      </c>
      <c r="G55" s="8">
        <f t="shared" si="0"/>
        <v>28375</v>
      </c>
      <c r="H55" s="8">
        <f t="shared" si="1"/>
        <v>69717375</v>
      </c>
      <c r="I55" s="8">
        <f t="shared" si="2"/>
        <v>55773900</v>
      </c>
      <c r="J55" s="8">
        <f t="shared" si="3"/>
        <v>13943475</v>
      </c>
      <c r="K55" s="9">
        <v>45739</v>
      </c>
      <c r="L55" s="10">
        <f>Table1[[#This Row],[Profit]]/Table1[[#This Row],[Sales]]</f>
        <v>0.2</v>
      </c>
    </row>
    <row r="56" spans="1:12">
      <c r="A56" t="s">
        <v>19</v>
      </c>
      <c r="B56" t="s">
        <v>36</v>
      </c>
      <c r="C56" t="s">
        <v>21</v>
      </c>
      <c r="D56" t="s">
        <v>14</v>
      </c>
      <c r="E56" s="7">
        <v>1281</v>
      </c>
      <c r="F56" s="8">
        <v>13400</v>
      </c>
      <c r="G56" s="8">
        <f t="shared" si="0"/>
        <v>16750</v>
      </c>
      <c r="H56" s="8">
        <f t="shared" si="1"/>
        <v>21456750</v>
      </c>
      <c r="I56" s="8">
        <f t="shared" si="2"/>
        <v>17165400</v>
      </c>
      <c r="J56" s="8">
        <f t="shared" si="3"/>
        <v>4291350</v>
      </c>
      <c r="K56" s="9">
        <v>45745</v>
      </c>
      <c r="L56" s="10">
        <f>Table1[[#This Row],[Profit]]/Table1[[#This Row],[Sales]]</f>
        <v>0.2</v>
      </c>
    </row>
    <row r="57" spans="1:12">
      <c r="A57" t="s">
        <v>19</v>
      </c>
      <c r="B57" t="s">
        <v>51</v>
      </c>
      <c r="C57" t="s">
        <v>17</v>
      </c>
      <c r="D57" t="s">
        <v>14</v>
      </c>
      <c r="E57" s="7">
        <v>208</v>
      </c>
      <c r="F57" s="8">
        <v>6400</v>
      </c>
      <c r="G57" s="8">
        <f t="shared" si="0"/>
        <v>8000</v>
      </c>
      <c r="H57" s="8">
        <f t="shared" si="1"/>
        <v>1664000</v>
      </c>
      <c r="I57" s="8">
        <f t="shared" si="2"/>
        <v>1331200</v>
      </c>
      <c r="J57" s="8">
        <f t="shared" si="3"/>
        <v>332800</v>
      </c>
      <c r="K57" s="9">
        <v>45745</v>
      </c>
      <c r="L57" s="10">
        <f>Table1[[#This Row],[Profit]]/Table1[[#This Row],[Sales]]</f>
        <v>0.2</v>
      </c>
    </row>
    <row r="58" spans="1:12">
      <c r="A58" t="s">
        <v>19</v>
      </c>
      <c r="B58" t="s">
        <v>36</v>
      </c>
      <c r="C58" t="s">
        <v>17</v>
      </c>
      <c r="D58" t="s">
        <v>14</v>
      </c>
      <c r="E58" s="7">
        <v>2471</v>
      </c>
      <c r="F58" s="8">
        <v>3900</v>
      </c>
      <c r="G58" s="8">
        <f t="shared" si="0"/>
        <v>4875</v>
      </c>
      <c r="H58" s="8">
        <f t="shared" si="1"/>
        <v>12046125</v>
      </c>
      <c r="I58" s="8">
        <f t="shared" si="2"/>
        <v>9636900</v>
      </c>
      <c r="J58" s="8">
        <f t="shared" si="3"/>
        <v>2409225</v>
      </c>
      <c r="K58" s="9">
        <v>45746</v>
      </c>
      <c r="L58" s="10">
        <f>Table1[[#This Row],[Profit]]/Table1[[#This Row],[Sales]]</f>
        <v>0.2</v>
      </c>
    </row>
    <row r="59" spans="1:12">
      <c r="A59" t="s">
        <v>19</v>
      </c>
      <c r="B59" t="s">
        <v>97</v>
      </c>
      <c r="C59" t="s">
        <v>27</v>
      </c>
      <c r="D59" t="s">
        <v>14</v>
      </c>
      <c r="E59" s="7">
        <v>2753</v>
      </c>
      <c r="F59" s="8">
        <v>11500</v>
      </c>
      <c r="G59" s="8">
        <f t="shared" si="0"/>
        <v>14375</v>
      </c>
      <c r="H59" s="8">
        <f t="shared" si="1"/>
        <v>39574375</v>
      </c>
      <c r="I59" s="8">
        <f t="shared" si="2"/>
        <v>31659500</v>
      </c>
      <c r="J59" s="8">
        <f t="shared" si="3"/>
        <v>7914875</v>
      </c>
      <c r="K59" s="9">
        <v>45747</v>
      </c>
      <c r="L59" s="10">
        <f>Table1[[#This Row],[Profit]]/Table1[[#This Row],[Sales]]</f>
        <v>0.2</v>
      </c>
    </row>
    <row r="60" spans="1:12">
      <c r="A60" t="s">
        <v>19</v>
      </c>
      <c r="B60" t="s">
        <v>51</v>
      </c>
      <c r="C60" t="s">
        <v>79</v>
      </c>
      <c r="D60" t="s">
        <v>14</v>
      </c>
      <c r="E60" s="7">
        <v>814</v>
      </c>
      <c r="F60" s="8">
        <v>9000</v>
      </c>
      <c r="G60" s="8">
        <f t="shared" si="0"/>
        <v>11250</v>
      </c>
      <c r="H60" s="8">
        <f t="shared" si="1"/>
        <v>9157500</v>
      </c>
      <c r="I60" s="8">
        <f t="shared" si="2"/>
        <v>7326000</v>
      </c>
      <c r="J60" s="8">
        <f t="shared" si="3"/>
        <v>1831500</v>
      </c>
      <c r="K60" s="9">
        <v>45751</v>
      </c>
      <c r="L60" s="10">
        <f>Table1[[#This Row],[Profit]]/Table1[[#This Row],[Sales]]</f>
        <v>0.2</v>
      </c>
    </row>
    <row r="61" spans="1:12">
      <c r="A61" t="s">
        <v>19</v>
      </c>
      <c r="B61" t="s">
        <v>51</v>
      </c>
      <c r="C61" t="s">
        <v>68</v>
      </c>
      <c r="D61" t="s">
        <v>14</v>
      </c>
      <c r="E61" s="7">
        <v>548</v>
      </c>
      <c r="F61" s="8">
        <v>18300</v>
      </c>
      <c r="G61" s="8">
        <f t="shared" si="0"/>
        <v>22875</v>
      </c>
      <c r="H61" s="8">
        <f t="shared" si="1"/>
        <v>12535500</v>
      </c>
      <c r="I61" s="8">
        <f t="shared" si="2"/>
        <v>10028400</v>
      </c>
      <c r="J61" s="8">
        <f t="shared" si="3"/>
        <v>2507100</v>
      </c>
      <c r="K61" s="9">
        <v>45753</v>
      </c>
      <c r="L61" s="10">
        <f>Table1[[#This Row],[Profit]]/Table1[[#This Row],[Sales]]</f>
        <v>0.2</v>
      </c>
    </row>
    <row r="62" spans="1:12">
      <c r="A62" t="s">
        <v>19</v>
      </c>
      <c r="B62" t="s">
        <v>98</v>
      </c>
      <c r="C62" t="s">
        <v>13</v>
      </c>
      <c r="D62" t="s">
        <v>14</v>
      </c>
      <c r="E62" s="7">
        <v>2348</v>
      </c>
      <c r="F62" s="8">
        <v>8700</v>
      </c>
      <c r="G62" s="8">
        <f t="shared" si="0"/>
        <v>10875</v>
      </c>
      <c r="H62" s="8">
        <f t="shared" si="1"/>
        <v>25534500</v>
      </c>
      <c r="I62" s="8">
        <f t="shared" si="2"/>
        <v>20427600</v>
      </c>
      <c r="J62" s="8">
        <f t="shared" si="3"/>
        <v>5106900</v>
      </c>
      <c r="K62" s="9">
        <v>45755</v>
      </c>
      <c r="L62" s="10">
        <f>Table1[[#This Row],[Profit]]/Table1[[#This Row],[Sales]]</f>
        <v>0.2</v>
      </c>
    </row>
    <row r="63" spans="1:12">
      <c r="A63" t="s">
        <v>19</v>
      </c>
      <c r="B63" t="s">
        <v>39</v>
      </c>
      <c r="C63" t="s">
        <v>63</v>
      </c>
      <c r="D63" t="s">
        <v>14</v>
      </c>
      <c r="E63" s="7">
        <v>1099</v>
      </c>
      <c r="F63" s="8">
        <v>8600</v>
      </c>
      <c r="G63" s="8">
        <f t="shared" si="0"/>
        <v>10750</v>
      </c>
      <c r="H63" s="8">
        <f t="shared" si="1"/>
        <v>11814250</v>
      </c>
      <c r="I63" s="8">
        <f t="shared" si="2"/>
        <v>9451400</v>
      </c>
      <c r="J63" s="8">
        <f t="shared" si="3"/>
        <v>2362850</v>
      </c>
      <c r="K63" s="9">
        <v>45755</v>
      </c>
      <c r="L63" s="10">
        <f>Table1[[#This Row],[Profit]]/Table1[[#This Row],[Sales]]</f>
        <v>0.2</v>
      </c>
    </row>
    <row r="64" spans="1:12">
      <c r="A64" t="s">
        <v>19</v>
      </c>
      <c r="B64" t="s">
        <v>26</v>
      </c>
      <c r="C64" t="s">
        <v>68</v>
      </c>
      <c r="D64" t="s">
        <v>14</v>
      </c>
      <c r="E64" s="7">
        <v>2195</v>
      </c>
      <c r="F64" s="8">
        <v>14605</v>
      </c>
      <c r="G64" s="8">
        <f t="shared" si="0"/>
        <v>18250</v>
      </c>
      <c r="H64" s="8">
        <f t="shared" si="1"/>
        <v>40058750</v>
      </c>
      <c r="I64" s="8">
        <f t="shared" si="2"/>
        <v>32057975</v>
      </c>
      <c r="J64" s="8">
        <f t="shared" si="3"/>
        <v>8000775</v>
      </c>
      <c r="K64" s="9">
        <v>45757</v>
      </c>
      <c r="L64" s="10">
        <f>Table1[[#This Row],[Profit]]/Table1[[#This Row],[Sales]]</f>
        <v>0.19972602739726028</v>
      </c>
    </row>
    <row r="65" spans="1:12">
      <c r="A65" t="s">
        <v>19</v>
      </c>
      <c r="B65" t="s">
        <v>26</v>
      </c>
      <c r="C65" t="s">
        <v>68</v>
      </c>
      <c r="D65" t="s">
        <v>14</v>
      </c>
      <c r="E65" s="7">
        <v>489</v>
      </c>
      <c r="F65" s="8">
        <v>7400</v>
      </c>
      <c r="G65" s="8">
        <f t="shared" si="0"/>
        <v>9250</v>
      </c>
      <c r="H65" s="8">
        <f t="shared" si="1"/>
        <v>4523250</v>
      </c>
      <c r="I65" s="8">
        <f t="shared" si="2"/>
        <v>3618600</v>
      </c>
      <c r="J65" s="8">
        <f t="shared" si="3"/>
        <v>904650</v>
      </c>
      <c r="K65" s="9">
        <v>45760</v>
      </c>
      <c r="L65" s="10">
        <f>Table1[[#This Row],[Profit]]/Table1[[#This Row],[Sales]]</f>
        <v>0.2</v>
      </c>
    </row>
    <row r="66" spans="1:12">
      <c r="A66" t="s">
        <v>19</v>
      </c>
      <c r="B66" t="s">
        <v>20</v>
      </c>
      <c r="C66" t="s">
        <v>79</v>
      </c>
      <c r="D66" t="s">
        <v>14</v>
      </c>
      <c r="E66" s="7">
        <v>863</v>
      </c>
      <c r="F66" s="8">
        <v>16000</v>
      </c>
      <c r="G66" s="8">
        <f t="shared" ref="G66:G129" si="4">ROUNDDOWN(F66/100,0)*100*1.25</f>
        <v>20000</v>
      </c>
      <c r="H66" s="8">
        <f t="shared" ref="H66:H129" si="5">E66*G66</f>
        <v>17260000</v>
      </c>
      <c r="I66" s="8">
        <f t="shared" ref="I66:I129" si="6">E66*F66</f>
        <v>13808000</v>
      </c>
      <c r="J66" s="8">
        <f t="shared" ref="J66:J129" si="7">H66-I66</f>
        <v>3452000</v>
      </c>
      <c r="K66" s="9">
        <v>45760</v>
      </c>
      <c r="L66" s="10">
        <f>Table1[[#This Row],[Profit]]/Table1[[#This Row],[Sales]]</f>
        <v>0.2</v>
      </c>
    </row>
    <row r="67" spans="1:12">
      <c r="A67" t="s">
        <v>19</v>
      </c>
      <c r="B67" t="s">
        <v>20</v>
      </c>
      <c r="C67" t="s">
        <v>31</v>
      </c>
      <c r="D67" t="s">
        <v>14</v>
      </c>
      <c r="E67" s="7">
        <v>202</v>
      </c>
      <c r="F67" s="8">
        <v>3300</v>
      </c>
      <c r="G67" s="8">
        <f t="shared" si="4"/>
        <v>4125</v>
      </c>
      <c r="H67" s="8">
        <f t="shared" si="5"/>
        <v>833250</v>
      </c>
      <c r="I67" s="8">
        <f t="shared" si="6"/>
        <v>666600</v>
      </c>
      <c r="J67" s="8">
        <f t="shared" si="7"/>
        <v>166650</v>
      </c>
      <c r="K67" s="9">
        <v>45762</v>
      </c>
      <c r="L67" s="10">
        <f>Table1[[#This Row],[Profit]]/Table1[[#This Row],[Sales]]</f>
        <v>0.2</v>
      </c>
    </row>
    <row r="68" spans="1:12">
      <c r="A68" t="s">
        <v>19</v>
      </c>
      <c r="B68" t="s">
        <v>36</v>
      </c>
      <c r="C68" t="s">
        <v>27</v>
      </c>
      <c r="D68" t="s">
        <v>14</v>
      </c>
      <c r="E68" s="7">
        <v>2500</v>
      </c>
      <c r="F68" s="8">
        <v>6300</v>
      </c>
      <c r="G68" s="8">
        <f t="shared" si="4"/>
        <v>7875</v>
      </c>
      <c r="H68" s="8">
        <f t="shared" si="5"/>
        <v>19687500</v>
      </c>
      <c r="I68" s="8">
        <f t="shared" si="6"/>
        <v>15750000</v>
      </c>
      <c r="J68" s="8">
        <f t="shared" si="7"/>
        <v>3937500</v>
      </c>
      <c r="K68" s="9">
        <v>45764</v>
      </c>
      <c r="L68" s="10">
        <f>Table1[[#This Row],[Profit]]/Table1[[#This Row],[Sales]]</f>
        <v>0.2</v>
      </c>
    </row>
    <row r="69" spans="1:12">
      <c r="A69" t="s">
        <v>19</v>
      </c>
      <c r="B69" t="s">
        <v>88</v>
      </c>
      <c r="C69" t="s">
        <v>68</v>
      </c>
      <c r="D69" t="s">
        <v>14</v>
      </c>
      <c r="E69" s="7">
        <v>2290</v>
      </c>
      <c r="F69" s="8">
        <v>2400</v>
      </c>
      <c r="G69" s="8">
        <f t="shared" si="4"/>
        <v>3000</v>
      </c>
      <c r="H69" s="8">
        <f t="shared" si="5"/>
        <v>6870000</v>
      </c>
      <c r="I69" s="8">
        <f t="shared" si="6"/>
        <v>5496000</v>
      </c>
      <c r="J69" s="8">
        <f t="shared" si="7"/>
        <v>1374000</v>
      </c>
      <c r="K69" s="9">
        <v>45765</v>
      </c>
      <c r="L69" s="10">
        <f>Table1[[#This Row],[Profit]]/Table1[[#This Row],[Sales]]</f>
        <v>0.2</v>
      </c>
    </row>
    <row r="70" spans="1:12">
      <c r="A70" t="s">
        <v>19</v>
      </c>
      <c r="B70" t="s">
        <v>51</v>
      </c>
      <c r="C70" t="s">
        <v>21</v>
      </c>
      <c r="D70" t="s">
        <v>14</v>
      </c>
      <c r="E70" s="7">
        <v>2999</v>
      </c>
      <c r="F70" s="8">
        <v>11800</v>
      </c>
      <c r="G70" s="8">
        <f t="shared" si="4"/>
        <v>14750</v>
      </c>
      <c r="H70" s="8">
        <f t="shared" si="5"/>
        <v>44235250</v>
      </c>
      <c r="I70" s="8">
        <f t="shared" si="6"/>
        <v>35388200</v>
      </c>
      <c r="J70" s="8">
        <f t="shared" si="7"/>
        <v>8847050</v>
      </c>
      <c r="K70" s="9">
        <v>45766</v>
      </c>
      <c r="L70" s="10">
        <f>Table1[[#This Row],[Profit]]/Table1[[#This Row],[Sales]]</f>
        <v>0.2</v>
      </c>
    </row>
    <row r="71" spans="1:12">
      <c r="A71" t="s">
        <v>19</v>
      </c>
      <c r="B71" t="s">
        <v>62</v>
      </c>
      <c r="C71" t="s">
        <v>13</v>
      </c>
      <c r="D71" t="s">
        <v>14</v>
      </c>
      <c r="E71" s="7">
        <v>1495</v>
      </c>
      <c r="F71" s="8">
        <v>12800</v>
      </c>
      <c r="G71" s="8">
        <f t="shared" si="4"/>
        <v>16000</v>
      </c>
      <c r="H71" s="8">
        <f t="shared" si="5"/>
        <v>23920000</v>
      </c>
      <c r="I71" s="8">
        <f t="shared" si="6"/>
        <v>19136000</v>
      </c>
      <c r="J71" s="8">
        <f t="shared" si="7"/>
        <v>4784000</v>
      </c>
      <c r="K71" s="9">
        <v>45766</v>
      </c>
      <c r="L71" s="10">
        <f>Table1[[#This Row],[Profit]]/Table1[[#This Row],[Sales]]</f>
        <v>0.2</v>
      </c>
    </row>
    <row r="72" spans="1:12">
      <c r="A72" t="s">
        <v>19</v>
      </c>
      <c r="B72" t="s">
        <v>39</v>
      </c>
      <c r="C72" t="s">
        <v>37</v>
      </c>
      <c r="D72" t="s">
        <v>14</v>
      </c>
      <c r="E72" s="7">
        <v>879</v>
      </c>
      <c r="F72" s="8">
        <v>15000</v>
      </c>
      <c r="G72" s="8">
        <f t="shared" si="4"/>
        <v>18750</v>
      </c>
      <c r="H72" s="8">
        <f t="shared" si="5"/>
        <v>16481250</v>
      </c>
      <c r="I72" s="8">
        <f t="shared" si="6"/>
        <v>13185000</v>
      </c>
      <c r="J72" s="8">
        <f t="shared" si="7"/>
        <v>3296250</v>
      </c>
      <c r="K72" s="9">
        <v>45769</v>
      </c>
      <c r="L72" s="10">
        <f>Table1[[#This Row],[Profit]]/Table1[[#This Row],[Sales]]</f>
        <v>0.2</v>
      </c>
    </row>
    <row r="73" spans="1:12">
      <c r="A73" t="s">
        <v>19</v>
      </c>
      <c r="B73" t="s">
        <v>97</v>
      </c>
      <c r="C73" t="s">
        <v>68</v>
      </c>
      <c r="D73" t="s">
        <v>14</v>
      </c>
      <c r="E73" s="7">
        <v>514</v>
      </c>
      <c r="F73" s="8">
        <v>16675</v>
      </c>
      <c r="G73" s="8">
        <f t="shared" si="4"/>
        <v>20750</v>
      </c>
      <c r="H73" s="8">
        <f t="shared" si="5"/>
        <v>10665500</v>
      </c>
      <c r="I73" s="8">
        <f t="shared" si="6"/>
        <v>8570950</v>
      </c>
      <c r="J73" s="8">
        <f t="shared" si="7"/>
        <v>2094550</v>
      </c>
      <c r="K73" s="9">
        <v>45772</v>
      </c>
      <c r="L73" s="10">
        <f>Table1[[#This Row],[Profit]]/Table1[[#This Row],[Sales]]</f>
        <v>0.19638554216867471</v>
      </c>
    </row>
    <row r="74" spans="1:12">
      <c r="A74" t="s">
        <v>19</v>
      </c>
      <c r="B74" t="s">
        <v>36</v>
      </c>
      <c r="C74" t="s">
        <v>79</v>
      </c>
      <c r="D74" t="s">
        <v>14</v>
      </c>
      <c r="E74" s="7">
        <v>1927</v>
      </c>
      <c r="F74" s="8">
        <v>20500</v>
      </c>
      <c r="G74" s="8">
        <f t="shared" si="4"/>
        <v>25625</v>
      </c>
      <c r="H74" s="8">
        <f t="shared" si="5"/>
        <v>49379375</v>
      </c>
      <c r="I74" s="8">
        <f t="shared" si="6"/>
        <v>39503500</v>
      </c>
      <c r="J74" s="8">
        <f t="shared" si="7"/>
        <v>9875875</v>
      </c>
      <c r="K74" s="9">
        <v>45774</v>
      </c>
      <c r="L74" s="10">
        <f>Table1[[#This Row],[Profit]]/Table1[[#This Row],[Sales]]</f>
        <v>0.2</v>
      </c>
    </row>
    <row r="75" spans="1:12">
      <c r="A75" t="s">
        <v>19</v>
      </c>
      <c r="B75" t="s">
        <v>20</v>
      </c>
      <c r="C75" t="s">
        <v>21</v>
      </c>
      <c r="D75" t="s">
        <v>14</v>
      </c>
      <c r="E75" s="7">
        <v>1010</v>
      </c>
      <c r="F75" s="8">
        <v>11684</v>
      </c>
      <c r="G75" s="8">
        <f t="shared" si="4"/>
        <v>14500</v>
      </c>
      <c r="H75" s="8">
        <f t="shared" si="5"/>
        <v>14645000</v>
      </c>
      <c r="I75" s="8">
        <f t="shared" si="6"/>
        <v>11800840</v>
      </c>
      <c r="J75" s="8">
        <f t="shared" si="7"/>
        <v>2844160</v>
      </c>
      <c r="K75" s="9">
        <v>45776</v>
      </c>
      <c r="L75" s="10">
        <f>Table1[[#This Row],[Profit]]/Table1[[#This Row],[Sales]]</f>
        <v>0.19420689655172413</v>
      </c>
    </row>
    <row r="76" spans="1:12">
      <c r="A76" t="s">
        <v>19</v>
      </c>
      <c r="B76" t="s">
        <v>26</v>
      </c>
      <c r="C76" t="s">
        <v>37</v>
      </c>
      <c r="D76" t="s">
        <v>14</v>
      </c>
      <c r="E76" s="7">
        <v>1276</v>
      </c>
      <c r="F76" s="8">
        <v>18900</v>
      </c>
      <c r="G76" s="8">
        <f t="shared" si="4"/>
        <v>23625</v>
      </c>
      <c r="H76" s="8">
        <f t="shared" si="5"/>
        <v>30145500</v>
      </c>
      <c r="I76" s="8">
        <f t="shared" si="6"/>
        <v>24116400</v>
      </c>
      <c r="J76" s="8">
        <f t="shared" si="7"/>
        <v>6029100</v>
      </c>
      <c r="K76" s="9">
        <v>45778</v>
      </c>
      <c r="L76" s="10">
        <f>Table1[[#This Row],[Profit]]/Table1[[#This Row],[Sales]]</f>
        <v>0.2</v>
      </c>
    </row>
    <row r="77" spans="1:12">
      <c r="A77" t="s">
        <v>19</v>
      </c>
      <c r="B77" t="s">
        <v>98</v>
      </c>
      <c r="C77" t="s">
        <v>21</v>
      </c>
      <c r="D77" t="s">
        <v>14</v>
      </c>
      <c r="E77" s="7">
        <v>477</v>
      </c>
      <c r="F77" s="8">
        <v>9600</v>
      </c>
      <c r="G77" s="8">
        <f t="shared" si="4"/>
        <v>12000</v>
      </c>
      <c r="H77" s="8">
        <f t="shared" si="5"/>
        <v>5724000</v>
      </c>
      <c r="I77" s="8">
        <f t="shared" si="6"/>
        <v>4579200</v>
      </c>
      <c r="J77" s="8">
        <f t="shared" si="7"/>
        <v>1144800</v>
      </c>
      <c r="K77" s="9">
        <v>45779</v>
      </c>
      <c r="L77" s="10">
        <f>Table1[[#This Row],[Profit]]/Table1[[#This Row],[Sales]]</f>
        <v>0.2</v>
      </c>
    </row>
    <row r="78" spans="1:12">
      <c r="A78" t="s">
        <v>19</v>
      </c>
      <c r="B78" t="s">
        <v>97</v>
      </c>
      <c r="C78" t="s">
        <v>21</v>
      </c>
      <c r="D78" t="s">
        <v>14</v>
      </c>
      <c r="E78" s="7">
        <v>2223</v>
      </c>
      <c r="F78" s="8">
        <v>8400</v>
      </c>
      <c r="G78" s="8">
        <f t="shared" si="4"/>
        <v>10500</v>
      </c>
      <c r="H78" s="8">
        <f t="shared" si="5"/>
        <v>23341500</v>
      </c>
      <c r="I78" s="8">
        <f t="shared" si="6"/>
        <v>18673200</v>
      </c>
      <c r="J78" s="8">
        <f t="shared" si="7"/>
        <v>4668300</v>
      </c>
      <c r="K78" s="9">
        <v>45780</v>
      </c>
      <c r="L78" s="10">
        <f>Table1[[#This Row],[Profit]]/Table1[[#This Row],[Sales]]</f>
        <v>0.2</v>
      </c>
    </row>
    <row r="79" spans="1:12">
      <c r="A79" t="s">
        <v>19</v>
      </c>
      <c r="B79" t="s">
        <v>77</v>
      </c>
      <c r="C79" t="s">
        <v>27</v>
      </c>
      <c r="D79" t="s">
        <v>14</v>
      </c>
      <c r="E79" s="7">
        <v>2506</v>
      </c>
      <c r="F79" s="8">
        <v>24700</v>
      </c>
      <c r="G79" s="8">
        <f t="shared" si="4"/>
        <v>30875</v>
      </c>
      <c r="H79" s="8">
        <f t="shared" si="5"/>
        <v>77372750</v>
      </c>
      <c r="I79" s="8">
        <f t="shared" si="6"/>
        <v>61898200</v>
      </c>
      <c r="J79" s="8">
        <f t="shared" si="7"/>
        <v>15474550</v>
      </c>
      <c r="K79" s="9">
        <v>45782</v>
      </c>
      <c r="L79" s="10">
        <f>Table1[[#This Row],[Profit]]/Table1[[#This Row],[Sales]]</f>
        <v>0.2</v>
      </c>
    </row>
    <row r="80" spans="1:12">
      <c r="A80" t="s">
        <v>19</v>
      </c>
      <c r="B80" t="s">
        <v>26</v>
      </c>
      <c r="C80" t="s">
        <v>37</v>
      </c>
      <c r="D80" t="s">
        <v>14</v>
      </c>
      <c r="E80" s="7">
        <v>131</v>
      </c>
      <c r="F80" s="8">
        <v>6100</v>
      </c>
      <c r="G80" s="8">
        <f t="shared" si="4"/>
        <v>7625</v>
      </c>
      <c r="H80" s="8">
        <f t="shared" si="5"/>
        <v>998875</v>
      </c>
      <c r="I80" s="8">
        <f t="shared" si="6"/>
        <v>799100</v>
      </c>
      <c r="J80" s="8">
        <f t="shared" si="7"/>
        <v>199775</v>
      </c>
      <c r="K80" s="9">
        <v>45786</v>
      </c>
      <c r="L80" s="10">
        <f>Table1[[#This Row],[Profit]]/Table1[[#This Row],[Sales]]</f>
        <v>0.2</v>
      </c>
    </row>
    <row r="81" spans="1:12">
      <c r="A81" t="s">
        <v>19</v>
      </c>
      <c r="B81" t="s">
        <v>20</v>
      </c>
      <c r="C81" t="s">
        <v>34</v>
      </c>
      <c r="D81" t="s">
        <v>14</v>
      </c>
      <c r="E81" s="7">
        <v>2675</v>
      </c>
      <c r="F81" s="8">
        <v>11700</v>
      </c>
      <c r="G81" s="8">
        <f t="shared" si="4"/>
        <v>14625</v>
      </c>
      <c r="H81" s="8">
        <f t="shared" si="5"/>
        <v>39121875</v>
      </c>
      <c r="I81" s="8">
        <f t="shared" si="6"/>
        <v>31297500</v>
      </c>
      <c r="J81" s="8">
        <f t="shared" si="7"/>
        <v>7824375</v>
      </c>
      <c r="K81" s="9">
        <v>45786</v>
      </c>
      <c r="L81" s="10">
        <f>Table1[[#This Row],[Profit]]/Table1[[#This Row],[Sales]]</f>
        <v>0.2</v>
      </c>
    </row>
    <row r="82" spans="1:12">
      <c r="A82" t="s">
        <v>19</v>
      </c>
      <c r="B82" t="s">
        <v>20</v>
      </c>
      <c r="C82" t="s">
        <v>31</v>
      </c>
      <c r="D82" t="s">
        <v>14</v>
      </c>
      <c r="E82" s="7">
        <v>2031</v>
      </c>
      <c r="F82" s="8">
        <v>19100</v>
      </c>
      <c r="G82" s="8">
        <f t="shared" si="4"/>
        <v>23875</v>
      </c>
      <c r="H82" s="8">
        <f t="shared" si="5"/>
        <v>48490125</v>
      </c>
      <c r="I82" s="8">
        <f t="shared" si="6"/>
        <v>38792100</v>
      </c>
      <c r="J82" s="8">
        <f t="shared" si="7"/>
        <v>9698025</v>
      </c>
      <c r="K82" s="9">
        <v>45787</v>
      </c>
      <c r="L82" s="10">
        <f>Table1[[#This Row],[Profit]]/Table1[[#This Row],[Sales]]</f>
        <v>0.2</v>
      </c>
    </row>
    <row r="83" spans="1:12">
      <c r="A83" t="s">
        <v>19</v>
      </c>
      <c r="B83" t="s">
        <v>39</v>
      </c>
      <c r="C83" t="s">
        <v>68</v>
      </c>
      <c r="D83" t="s">
        <v>14</v>
      </c>
      <c r="E83" s="7">
        <v>629</v>
      </c>
      <c r="F83" s="8">
        <v>23500</v>
      </c>
      <c r="G83" s="8">
        <f t="shared" si="4"/>
        <v>29375</v>
      </c>
      <c r="H83" s="8">
        <f t="shared" si="5"/>
        <v>18476875</v>
      </c>
      <c r="I83" s="8">
        <f t="shared" si="6"/>
        <v>14781500</v>
      </c>
      <c r="J83" s="8">
        <f t="shared" si="7"/>
        <v>3695375</v>
      </c>
      <c r="K83" s="9">
        <v>45788</v>
      </c>
      <c r="L83" s="10">
        <f>Table1[[#This Row],[Profit]]/Table1[[#This Row],[Sales]]</f>
        <v>0.2</v>
      </c>
    </row>
    <row r="84" spans="1:12">
      <c r="A84" t="s">
        <v>19</v>
      </c>
      <c r="B84" t="s">
        <v>39</v>
      </c>
      <c r="C84" t="s">
        <v>17</v>
      </c>
      <c r="D84" t="s">
        <v>14</v>
      </c>
      <c r="E84" s="7">
        <v>2751</v>
      </c>
      <c r="F84" s="8">
        <v>13500</v>
      </c>
      <c r="G84" s="8">
        <f t="shared" si="4"/>
        <v>16875</v>
      </c>
      <c r="H84" s="8">
        <f t="shared" si="5"/>
        <v>46423125</v>
      </c>
      <c r="I84" s="8">
        <f t="shared" si="6"/>
        <v>37138500</v>
      </c>
      <c r="J84" s="8">
        <f t="shared" si="7"/>
        <v>9284625</v>
      </c>
      <c r="K84" s="9">
        <v>45788</v>
      </c>
      <c r="L84" s="10">
        <f>Table1[[#This Row],[Profit]]/Table1[[#This Row],[Sales]]</f>
        <v>0.2</v>
      </c>
    </row>
    <row r="85" spans="1:12">
      <c r="A85" t="s">
        <v>19</v>
      </c>
      <c r="B85" t="s">
        <v>62</v>
      </c>
      <c r="C85" t="s">
        <v>79</v>
      </c>
      <c r="D85" t="s">
        <v>14</v>
      </c>
      <c r="E85" s="7">
        <v>1102</v>
      </c>
      <c r="F85" s="8">
        <v>23100</v>
      </c>
      <c r="G85" s="8">
        <f t="shared" si="4"/>
        <v>28875</v>
      </c>
      <c r="H85" s="8">
        <f t="shared" si="5"/>
        <v>31820250</v>
      </c>
      <c r="I85" s="8">
        <f t="shared" si="6"/>
        <v>25456200</v>
      </c>
      <c r="J85" s="8">
        <f t="shared" si="7"/>
        <v>6364050</v>
      </c>
      <c r="K85" s="9">
        <v>45789</v>
      </c>
      <c r="L85" s="10">
        <f>Table1[[#This Row],[Profit]]/Table1[[#This Row],[Sales]]</f>
        <v>0.2</v>
      </c>
    </row>
    <row r="86" spans="1:12">
      <c r="A86" t="s">
        <v>19</v>
      </c>
      <c r="B86" t="s">
        <v>88</v>
      </c>
      <c r="C86" t="s">
        <v>63</v>
      </c>
      <c r="D86" t="s">
        <v>14</v>
      </c>
      <c r="E86" s="7">
        <v>2669</v>
      </c>
      <c r="F86" s="8">
        <v>22800</v>
      </c>
      <c r="G86" s="8">
        <f t="shared" si="4"/>
        <v>28500</v>
      </c>
      <c r="H86" s="8">
        <f t="shared" si="5"/>
        <v>76066500</v>
      </c>
      <c r="I86" s="8">
        <f t="shared" si="6"/>
        <v>60853200</v>
      </c>
      <c r="J86" s="8">
        <f t="shared" si="7"/>
        <v>15213300</v>
      </c>
      <c r="K86" s="9">
        <v>45791</v>
      </c>
      <c r="L86" s="10">
        <f>Table1[[#This Row],[Profit]]/Table1[[#This Row],[Sales]]</f>
        <v>0.2</v>
      </c>
    </row>
    <row r="87" spans="1:12">
      <c r="A87" t="s">
        <v>19</v>
      </c>
      <c r="B87" t="s">
        <v>98</v>
      </c>
      <c r="C87" t="s">
        <v>21</v>
      </c>
      <c r="D87" t="s">
        <v>14</v>
      </c>
      <c r="E87" s="7">
        <v>1051</v>
      </c>
      <c r="F87" s="8">
        <v>22500</v>
      </c>
      <c r="G87" s="8">
        <f t="shared" si="4"/>
        <v>28125</v>
      </c>
      <c r="H87" s="8">
        <f t="shared" si="5"/>
        <v>29559375</v>
      </c>
      <c r="I87" s="8">
        <f t="shared" si="6"/>
        <v>23647500</v>
      </c>
      <c r="J87" s="8">
        <f t="shared" si="7"/>
        <v>5911875</v>
      </c>
      <c r="K87" s="9">
        <v>45792</v>
      </c>
      <c r="L87" s="10">
        <f>Table1[[#This Row],[Profit]]/Table1[[#This Row],[Sales]]</f>
        <v>0.2</v>
      </c>
    </row>
    <row r="88" spans="1:12">
      <c r="A88" t="s">
        <v>19</v>
      </c>
      <c r="B88" t="s">
        <v>77</v>
      </c>
      <c r="C88" t="s">
        <v>17</v>
      </c>
      <c r="D88" t="s">
        <v>14</v>
      </c>
      <c r="E88" s="7">
        <v>1954</v>
      </c>
      <c r="F88" s="8">
        <v>18800</v>
      </c>
      <c r="G88" s="8">
        <f t="shared" si="4"/>
        <v>23500</v>
      </c>
      <c r="H88" s="8">
        <f t="shared" si="5"/>
        <v>45919000</v>
      </c>
      <c r="I88" s="8">
        <f t="shared" si="6"/>
        <v>36735200</v>
      </c>
      <c r="J88" s="8">
        <f t="shared" si="7"/>
        <v>9183800</v>
      </c>
      <c r="K88" s="9">
        <v>45793</v>
      </c>
      <c r="L88" s="10">
        <f>Table1[[#This Row],[Profit]]/Table1[[#This Row],[Sales]]</f>
        <v>0.2</v>
      </c>
    </row>
    <row r="89" spans="1:12">
      <c r="A89" t="s">
        <v>19</v>
      </c>
      <c r="B89" t="s">
        <v>26</v>
      </c>
      <c r="C89" t="s">
        <v>34</v>
      </c>
      <c r="D89" t="s">
        <v>14</v>
      </c>
      <c r="E89" s="7">
        <v>642</v>
      </c>
      <c r="F89" s="8">
        <v>4300</v>
      </c>
      <c r="G89" s="8">
        <f t="shared" si="4"/>
        <v>5375</v>
      </c>
      <c r="H89" s="8">
        <f t="shared" si="5"/>
        <v>3450750</v>
      </c>
      <c r="I89" s="8">
        <f t="shared" si="6"/>
        <v>2760600</v>
      </c>
      <c r="J89" s="8">
        <f t="shared" si="7"/>
        <v>690150</v>
      </c>
      <c r="K89" s="9">
        <v>45796</v>
      </c>
      <c r="L89" s="10">
        <f>Table1[[#This Row],[Profit]]/Table1[[#This Row],[Sales]]</f>
        <v>0.2</v>
      </c>
    </row>
    <row r="90" spans="1:12">
      <c r="A90" t="s">
        <v>19</v>
      </c>
      <c r="B90" t="s">
        <v>51</v>
      </c>
      <c r="C90" t="s">
        <v>63</v>
      </c>
      <c r="D90" t="s">
        <v>14</v>
      </c>
      <c r="E90" s="7">
        <v>2124</v>
      </c>
      <c r="F90" s="8">
        <v>9900</v>
      </c>
      <c r="G90" s="8">
        <f t="shared" si="4"/>
        <v>12375</v>
      </c>
      <c r="H90" s="8">
        <f t="shared" si="5"/>
        <v>26284500</v>
      </c>
      <c r="I90" s="8">
        <f t="shared" si="6"/>
        <v>21027600</v>
      </c>
      <c r="J90" s="8">
        <f t="shared" si="7"/>
        <v>5256900</v>
      </c>
      <c r="K90" s="9">
        <v>45798</v>
      </c>
      <c r="L90" s="10">
        <f>Table1[[#This Row],[Profit]]/Table1[[#This Row],[Sales]]</f>
        <v>0.2</v>
      </c>
    </row>
    <row r="91" spans="1:12">
      <c r="A91" t="s">
        <v>19</v>
      </c>
      <c r="B91" t="s">
        <v>39</v>
      </c>
      <c r="C91" t="s">
        <v>79</v>
      </c>
      <c r="D91" t="s">
        <v>14</v>
      </c>
      <c r="E91" s="7">
        <v>2904</v>
      </c>
      <c r="F91" s="8">
        <v>3800</v>
      </c>
      <c r="G91" s="8">
        <f t="shared" si="4"/>
        <v>4750</v>
      </c>
      <c r="H91" s="8">
        <f t="shared" si="5"/>
        <v>13794000</v>
      </c>
      <c r="I91" s="8">
        <f t="shared" si="6"/>
        <v>11035200</v>
      </c>
      <c r="J91" s="8">
        <f t="shared" si="7"/>
        <v>2758800</v>
      </c>
      <c r="K91" s="9">
        <v>45801</v>
      </c>
      <c r="L91" s="10">
        <f>Table1[[#This Row],[Profit]]/Table1[[#This Row],[Sales]]</f>
        <v>0.2</v>
      </c>
    </row>
    <row r="92" spans="1:12">
      <c r="A92" t="s">
        <v>19</v>
      </c>
      <c r="B92" t="s">
        <v>77</v>
      </c>
      <c r="C92" t="s">
        <v>13</v>
      </c>
      <c r="D92" t="s">
        <v>14</v>
      </c>
      <c r="E92" s="7">
        <v>2847</v>
      </c>
      <c r="F92" s="8">
        <v>12800</v>
      </c>
      <c r="G92" s="8">
        <f t="shared" si="4"/>
        <v>16000</v>
      </c>
      <c r="H92" s="8">
        <f t="shared" si="5"/>
        <v>45552000</v>
      </c>
      <c r="I92" s="8">
        <f t="shared" si="6"/>
        <v>36441600</v>
      </c>
      <c r="J92" s="8">
        <f t="shared" si="7"/>
        <v>9110400</v>
      </c>
      <c r="K92" s="9">
        <v>45801</v>
      </c>
      <c r="L92" s="10">
        <f>Table1[[#This Row],[Profit]]/Table1[[#This Row],[Sales]]</f>
        <v>0.2</v>
      </c>
    </row>
    <row r="93" spans="1:12">
      <c r="A93" t="s">
        <v>19</v>
      </c>
      <c r="B93" t="s">
        <v>62</v>
      </c>
      <c r="C93" t="s">
        <v>21</v>
      </c>
      <c r="D93" t="s">
        <v>14</v>
      </c>
      <c r="E93" s="7">
        <v>2049</v>
      </c>
      <c r="F93" s="8">
        <v>13100</v>
      </c>
      <c r="G93" s="8">
        <f t="shared" si="4"/>
        <v>16375</v>
      </c>
      <c r="H93" s="8">
        <f t="shared" si="5"/>
        <v>33552375</v>
      </c>
      <c r="I93" s="8">
        <f t="shared" si="6"/>
        <v>26841900</v>
      </c>
      <c r="J93" s="8">
        <f t="shared" si="7"/>
        <v>6710475</v>
      </c>
      <c r="K93" s="9">
        <v>45804</v>
      </c>
      <c r="L93" s="10">
        <f>Table1[[#This Row],[Profit]]/Table1[[#This Row],[Sales]]</f>
        <v>0.2</v>
      </c>
    </row>
    <row r="94" spans="1:12">
      <c r="A94" t="s">
        <v>19</v>
      </c>
      <c r="B94" t="s">
        <v>36</v>
      </c>
      <c r="C94" t="s">
        <v>37</v>
      </c>
      <c r="D94" t="s">
        <v>14</v>
      </c>
      <c r="E94" s="7">
        <v>1237</v>
      </c>
      <c r="F94" s="8">
        <v>5400</v>
      </c>
      <c r="G94" s="8">
        <f t="shared" si="4"/>
        <v>6750</v>
      </c>
      <c r="H94" s="8">
        <f t="shared" si="5"/>
        <v>8349750</v>
      </c>
      <c r="I94" s="8">
        <f t="shared" si="6"/>
        <v>6679800</v>
      </c>
      <c r="J94" s="8">
        <f t="shared" si="7"/>
        <v>1669950</v>
      </c>
      <c r="K94" s="9">
        <v>45806</v>
      </c>
      <c r="L94" s="10">
        <f>Table1[[#This Row],[Profit]]/Table1[[#This Row],[Sales]]</f>
        <v>0.2</v>
      </c>
    </row>
    <row r="95" spans="1:12">
      <c r="A95" t="s">
        <v>19</v>
      </c>
      <c r="B95" t="s">
        <v>39</v>
      </c>
      <c r="C95" t="s">
        <v>79</v>
      </c>
      <c r="D95" t="s">
        <v>14</v>
      </c>
      <c r="E95" s="7">
        <v>1013</v>
      </c>
      <c r="F95" s="8">
        <v>1500</v>
      </c>
      <c r="G95" s="8">
        <f t="shared" si="4"/>
        <v>1875</v>
      </c>
      <c r="H95" s="8">
        <f t="shared" si="5"/>
        <v>1899375</v>
      </c>
      <c r="I95" s="8">
        <f t="shared" si="6"/>
        <v>1519500</v>
      </c>
      <c r="J95" s="8">
        <f t="shared" si="7"/>
        <v>379875</v>
      </c>
      <c r="K95" s="9">
        <v>45807</v>
      </c>
      <c r="L95" s="10">
        <f>Table1[[#This Row],[Profit]]/Table1[[#This Row],[Sales]]</f>
        <v>0.2</v>
      </c>
    </row>
    <row r="96" spans="1:12">
      <c r="A96" t="s">
        <v>19</v>
      </c>
      <c r="B96" t="s">
        <v>62</v>
      </c>
      <c r="C96" t="s">
        <v>68</v>
      </c>
      <c r="D96" t="s">
        <v>14</v>
      </c>
      <c r="E96" s="7">
        <v>1578</v>
      </c>
      <c r="F96" s="8">
        <v>3600</v>
      </c>
      <c r="G96" s="8">
        <f t="shared" si="4"/>
        <v>4500</v>
      </c>
      <c r="H96" s="8">
        <f t="shared" si="5"/>
        <v>7101000</v>
      </c>
      <c r="I96" s="8">
        <f t="shared" si="6"/>
        <v>5680800</v>
      </c>
      <c r="J96" s="8">
        <f t="shared" si="7"/>
        <v>1420200</v>
      </c>
      <c r="K96" s="9">
        <v>45807</v>
      </c>
      <c r="L96" s="10">
        <f>Table1[[#This Row],[Profit]]/Table1[[#This Row],[Sales]]</f>
        <v>0.2</v>
      </c>
    </row>
    <row r="97" spans="1:12">
      <c r="A97" t="s">
        <v>19</v>
      </c>
      <c r="B97" t="s">
        <v>51</v>
      </c>
      <c r="C97" t="s">
        <v>37</v>
      </c>
      <c r="D97" t="s">
        <v>14</v>
      </c>
      <c r="E97" s="7">
        <v>490</v>
      </c>
      <c r="F97" s="8">
        <v>24900</v>
      </c>
      <c r="G97" s="8">
        <f t="shared" si="4"/>
        <v>31125</v>
      </c>
      <c r="H97" s="8">
        <f t="shared" si="5"/>
        <v>15251250</v>
      </c>
      <c r="I97" s="8">
        <f t="shared" si="6"/>
        <v>12201000</v>
      </c>
      <c r="J97" s="8">
        <f t="shared" si="7"/>
        <v>3050250</v>
      </c>
      <c r="K97" s="9">
        <v>45808</v>
      </c>
      <c r="L97" s="10">
        <f>Table1[[#This Row],[Profit]]/Table1[[#This Row],[Sales]]</f>
        <v>0.2</v>
      </c>
    </row>
    <row r="98" spans="1:12">
      <c r="A98" t="s">
        <v>19</v>
      </c>
      <c r="B98" t="s">
        <v>51</v>
      </c>
      <c r="C98" t="s">
        <v>63</v>
      </c>
      <c r="D98" t="s">
        <v>14</v>
      </c>
      <c r="E98" s="7">
        <v>1238</v>
      </c>
      <c r="F98" s="8">
        <v>11900</v>
      </c>
      <c r="G98" s="8">
        <f t="shared" si="4"/>
        <v>14875</v>
      </c>
      <c r="H98" s="8">
        <f t="shared" si="5"/>
        <v>18415250</v>
      </c>
      <c r="I98" s="8">
        <f t="shared" si="6"/>
        <v>14732200</v>
      </c>
      <c r="J98" s="8">
        <f t="shared" si="7"/>
        <v>3683050</v>
      </c>
      <c r="K98" s="9">
        <v>45812</v>
      </c>
      <c r="L98" s="10">
        <f>Table1[[#This Row],[Profit]]/Table1[[#This Row],[Sales]]</f>
        <v>0.2</v>
      </c>
    </row>
    <row r="99" spans="1:12">
      <c r="A99" t="s">
        <v>19</v>
      </c>
      <c r="B99" t="s">
        <v>39</v>
      </c>
      <c r="C99" t="s">
        <v>13</v>
      </c>
      <c r="D99" t="s">
        <v>14</v>
      </c>
      <c r="E99" s="7">
        <v>698</v>
      </c>
      <c r="F99" s="8">
        <v>11500</v>
      </c>
      <c r="G99" s="8">
        <f t="shared" si="4"/>
        <v>14375</v>
      </c>
      <c r="H99" s="8">
        <f t="shared" si="5"/>
        <v>10033750</v>
      </c>
      <c r="I99" s="8">
        <f t="shared" si="6"/>
        <v>8027000</v>
      </c>
      <c r="J99" s="8">
        <f t="shared" si="7"/>
        <v>2006750</v>
      </c>
      <c r="K99" s="9">
        <v>45813</v>
      </c>
      <c r="L99" s="10">
        <f>Table1[[#This Row],[Profit]]/Table1[[#This Row],[Sales]]</f>
        <v>0.2</v>
      </c>
    </row>
    <row r="100" spans="1:12">
      <c r="A100" t="s">
        <v>19</v>
      </c>
      <c r="B100" t="s">
        <v>36</v>
      </c>
      <c r="C100" t="s">
        <v>63</v>
      </c>
      <c r="D100" t="s">
        <v>14</v>
      </c>
      <c r="E100" s="7">
        <v>1988</v>
      </c>
      <c r="F100" s="8">
        <v>20700</v>
      </c>
      <c r="G100" s="8">
        <f t="shared" si="4"/>
        <v>25875</v>
      </c>
      <c r="H100" s="8">
        <f t="shared" si="5"/>
        <v>51439500</v>
      </c>
      <c r="I100" s="8">
        <f t="shared" si="6"/>
        <v>41151600</v>
      </c>
      <c r="J100" s="8">
        <f t="shared" si="7"/>
        <v>10287900</v>
      </c>
      <c r="K100" s="9">
        <v>45813</v>
      </c>
      <c r="L100" s="10">
        <f>Table1[[#This Row],[Profit]]/Table1[[#This Row],[Sales]]</f>
        <v>0.2</v>
      </c>
    </row>
    <row r="101" spans="1:12">
      <c r="A101" t="s">
        <v>19</v>
      </c>
      <c r="B101" t="s">
        <v>97</v>
      </c>
      <c r="C101" t="s">
        <v>21</v>
      </c>
      <c r="D101" t="s">
        <v>14</v>
      </c>
      <c r="E101" s="7">
        <v>1969</v>
      </c>
      <c r="F101" s="8">
        <v>19800</v>
      </c>
      <c r="G101" s="8">
        <f t="shared" si="4"/>
        <v>24750</v>
      </c>
      <c r="H101" s="8">
        <f t="shared" si="5"/>
        <v>48732750</v>
      </c>
      <c r="I101" s="8">
        <f t="shared" si="6"/>
        <v>38986200</v>
      </c>
      <c r="J101" s="8">
        <f t="shared" si="7"/>
        <v>9746550</v>
      </c>
      <c r="K101" s="9">
        <v>45813</v>
      </c>
      <c r="L101" s="10">
        <f>Table1[[#This Row],[Profit]]/Table1[[#This Row],[Sales]]</f>
        <v>0.2</v>
      </c>
    </row>
    <row r="102" spans="1:12">
      <c r="A102" t="s">
        <v>19</v>
      </c>
      <c r="B102" t="s">
        <v>97</v>
      </c>
      <c r="C102" t="s">
        <v>21</v>
      </c>
      <c r="D102" t="s">
        <v>14</v>
      </c>
      <c r="E102" s="7">
        <v>414</v>
      </c>
      <c r="F102" s="8">
        <v>4200</v>
      </c>
      <c r="G102" s="8">
        <f t="shared" si="4"/>
        <v>5250</v>
      </c>
      <c r="H102" s="8">
        <f t="shared" si="5"/>
        <v>2173500</v>
      </c>
      <c r="I102" s="8">
        <f t="shared" si="6"/>
        <v>1738800</v>
      </c>
      <c r="J102" s="8">
        <f t="shared" si="7"/>
        <v>434700</v>
      </c>
      <c r="K102" s="9">
        <v>45816</v>
      </c>
      <c r="L102" s="10">
        <f>Table1[[#This Row],[Profit]]/Table1[[#This Row],[Sales]]</f>
        <v>0.2</v>
      </c>
    </row>
    <row r="103" spans="1:12">
      <c r="A103" t="s">
        <v>19</v>
      </c>
      <c r="B103" t="s">
        <v>98</v>
      </c>
      <c r="C103" t="s">
        <v>21</v>
      </c>
      <c r="D103" t="s">
        <v>14</v>
      </c>
      <c r="E103" s="7">
        <v>508</v>
      </c>
      <c r="F103" s="8">
        <v>9600</v>
      </c>
      <c r="G103" s="8">
        <f t="shared" si="4"/>
        <v>12000</v>
      </c>
      <c r="H103" s="8">
        <f t="shared" si="5"/>
        <v>6096000</v>
      </c>
      <c r="I103" s="8">
        <f t="shared" si="6"/>
        <v>4876800</v>
      </c>
      <c r="J103" s="8">
        <f t="shared" si="7"/>
        <v>1219200</v>
      </c>
      <c r="K103" s="9">
        <v>45816</v>
      </c>
      <c r="L103" s="10">
        <f>Table1[[#This Row],[Profit]]/Table1[[#This Row],[Sales]]</f>
        <v>0.2</v>
      </c>
    </row>
    <row r="104" spans="1:12">
      <c r="A104" t="s">
        <v>19</v>
      </c>
      <c r="B104" t="s">
        <v>77</v>
      </c>
      <c r="C104" t="s">
        <v>68</v>
      </c>
      <c r="D104" t="s">
        <v>14</v>
      </c>
      <c r="E104" s="7">
        <v>2167</v>
      </c>
      <c r="F104" s="8">
        <v>15500</v>
      </c>
      <c r="G104" s="8">
        <f t="shared" si="4"/>
        <v>19375</v>
      </c>
      <c r="H104" s="8">
        <f t="shared" si="5"/>
        <v>41985625</v>
      </c>
      <c r="I104" s="8">
        <f t="shared" si="6"/>
        <v>33588500</v>
      </c>
      <c r="J104" s="8">
        <f t="shared" si="7"/>
        <v>8397125</v>
      </c>
      <c r="K104" s="9">
        <v>45817</v>
      </c>
      <c r="L104" s="10">
        <f>Table1[[#This Row],[Profit]]/Table1[[#This Row],[Sales]]</f>
        <v>0.2</v>
      </c>
    </row>
    <row r="105" spans="1:12">
      <c r="A105" t="s">
        <v>19</v>
      </c>
      <c r="B105" t="s">
        <v>62</v>
      </c>
      <c r="C105" t="s">
        <v>21</v>
      </c>
      <c r="D105" t="s">
        <v>14</v>
      </c>
      <c r="E105" s="7">
        <v>727</v>
      </c>
      <c r="F105" s="8">
        <v>15200</v>
      </c>
      <c r="G105" s="8">
        <f t="shared" si="4"/>
        <v>19000</v>
      </c>
      <c r="H105" s="8">
        <f t="shared" si="5"/>
        <v>13813000</v>
      </c>
      <c r="I105" s="8">
        <f t="shared" si="6"/>
        <v>11050400</v>
      </c>
      <c r="J105" s="8">
        <f t="shared" si="7"/>
        <v>2762600</v>
      </c>
      <c r="K105" s="9">
        <v>45817</v>
      </c>
      <c r="L105" s="10">
        <f>Table1[[#This Row],[Profit]]/Table1[[#This Row],[Sales]]</f>
        <v>0.2</v>
      </c>
    </row>
    <row r="106" spans="1:12">
      <c r="A106" t="s">
        <v>19</v>
      </c>
      <c r="B106" t="s">
        <v>88</v>
      </c>
      <c r="C106" t="s">
        <v>68</v>
      </c>
      <c r="D106" t="s">
        <v>14</v>
      </c>
      <c r="E106" s="7">
        <v>1649</v>
      </c>
      <c r="F106" s="8">
        <v>21800</v>
      </c>
      <c r="G106" s="8">
        <f t="shared" si="4"/>
        <v>27250</v>
      </c>
      <c r="H106" s="8">
        <f t="shared" si="5"/>
        <v>44935250</v>
      </c>
      <c r="I106" s="8">
        <f t="shared" si="6"/>
        <v>35948200</v>
      </c>
      <c r="J106" s="8">
        <f t="shared" si="7"/>
        <v>8987050</v>
      </c>
      <c r="K106" s="9">
        <v>45817</v>
      </c>
      <c r="L106" s="10">
        <f>Table1[[#This Row],[Profit]]/Table1[[#This Row],[Sales]]</f>
        <v>0.2</v>
      </c>
    </row>
    <row r="107" spans="1:12">
      <c r="A107" t="s">
        <v>19</v>
      </c>
      <c r="B107" t="s">
        <v>51</v>
      </c>
      <c r="C107" t="s">
        <v>63</v>
      </c>
      <c r="D107" t="s">
        <v>14</v>
      </c>
      <c r="E107" s="7">
        <v>1362</v>
      </c>
      <c r="F107" s="8">
        <v>7400</v>
      </c>
      <c r="G107" s="8">
        <f t="shared" si="4"/>
        <v>9250</v>
      </c>
      <c r="H107" s="8">
        <f t="shared" si="5"/>
        <v>12598500</v>
      </c>
      <c r="I107" s="8">
        <f t="shared" si="6"/>
        <v>10078800</v>
      </c>
      <c r="J107" s="8">
        <f t="shared" si="7"/>
        <v>2519700</v>
      </c>
      <c r="K107" s="9">
        <v>45821</v>
      </c>
      <c r="L107" s="10">
        <f>Table1[[#This Row],[Profit]]/Table1[[#This Row],[Sales]]</f>
        <v>0.2</v>
      </c>
    </row>
    <row r="108" spans="1:12">
      <c r="A108" t="s">
        <v>19</v>
      </c>
      <c r="B108" t="s">
        <v>62</v>
      </c>
      <c r="C108" t="s">
        <v>63</v>
      </c>
      <c r="D108" t="s">
        <v>14</v>
      </c>
      <c r="E108" s="7">
        <v>2128</v>
      </c>
      <c r="F108" s="8">
        <v>5100</v>
      </c>
      <c r="G108" s="8">
        <f t="shared" si="4"/>
        <v>6375</v>
      </c>
      <c r="H108" s="8">
        <f t="shared" si="5"/>
        <v>13566000</v>
      </c>
      <c r="I108" s="8">
        <f t="shared" si="6"/>
        <v>10852800</v>
      </c>
      <c r="J108" s="8">
        <f t="shared" si="7"/>
        <v>2713200</v>
      </c>
      <c r="K108" s="9">
        <v>45822</v>
      </c>
      <c r="L108" s="10">
        <f>Table1[[#This Row],[Profit]]/Table1[[#This Row],[Sales]]</f>
        <v>0.2</v>
      </c>
    </row>
    <row r="109" spans="1:12">
      <c r="A109" t="s">
        <v>19</v>
      </c>
      <c r="B109" t="s">
        <v>20</v>
      </c>
      <c r="C109" t="s">
        <v>27</v>
      </c>
      <c r="D109" t="s">
        <v>14</v>
      </c>
      <c r="E109" s="7">
        <v>131</v>
      </c>
      <c r="F109" s="8">
        <v>20300</v>
      </c>
      <c r="G109" s="8">
        <f t="shared" si="4"/>
        <v>25375</v>
      </c>
      <c r="H109" s="8">
        <f t="shared" si="5"/>
        <v>3324125</v>
      </c>
      <c r="I109" s="8">
        <f t="shared" si="6"/>
        <v>2659300</v>
      </c>
      <c r="J109" s="8">
        <f t="shared" si="7"/>
        <v>664825</v>
      </c>
      <c r="K109" s="9">
        <v>45825</v>
      </c>
      <c r="L109" s="10">
        <f>Table1[[#This Row],[Profit]]/Table1[[#This Row],[Sales]]</f>
        <v>0.2</v>
      </c>
    </row>
    <row r="110" spans="1:12">
      <c r="A110" t="s">
        <v>19</v>
      </c>
      <c r="B110" t="s">
        <v>39</v>
      </c>
      <c r="C110" t="s">
        <v>34</v>
      </c>
      <c r="D110" t="s">
        <v>14</v>
      </c>
      <c r="E110" s="7">
        <v>1807</v>
      </c>
      <c r="F110" s="8">
        <v>2800</v>
      </c>
      <c r="G110" s="8">
        <f t="shared" si="4"/>
        <v>3500</v>
      </c>
      <c r="H110" s="8">
        <f t="shared" si="5"/>
        <v>6324500</v>
      </c>
      <c r="I110" s="8">
        <f t="shared" si="6"/>
        <v>5059600</v>
      </c>
      <c r="J110" s="8">
        <f t="shared" si="7"/>
        <v>1264900</v>
      </c>
      <c r="K110" s="9">
        <v>45830</v>
      </c>
      <c r="L110" s="10">
        <f>Table1[[#This Row],[Profit]]/Table1[[#This Row],[Sales]]</f>
        <v>0.2</v>
      </c>
    </row>
    <row r="111" spans="1:12">
      <c r="A111" t="s">
        <v>19</v>
      </c>
      <c r="B111" t="s">
        <v>88</v>
      </c>
      <c r="C111" t="s">
        <v>68</v>
      </c>
      <c r="D111" t="s">
        <v>14</v>
      </c>
      <c r="E111" s="7">
        <v>431</v>
      </c>
      <c r="F111" s="8">
        <v>9400</v>
      </c>
      <c r="G111" s="8">
        <f t="shared" si="4"/>
        <v>11750</v>
      </c>
      <c r="H111" s="8">
        <f t="shared" si="5"/>
        <v>5064250</v>
      </c>
      <c r="I111" s="8">
        <f t="shared" si="6"/>
        <v>4051400</v>
      </c>
      <c r="J111" s="8">
        <f t="shared" si="7"/>
        <v>1012850</v>
      </c>
      <c r="K111" s="9">
        <v>45830</v>
      </c>
      <c r="L111" s="10">
        <f>Table1[[#This Row],[Profit]]/Table1[[#This Row],[Sales]]</f>
        <v>0.2</v>
      </c>
    </row>
    <row r="112" spans="1:12">
      <c r="A112" t="s">
        <v>19</v>
      </c>
      <c r="B112" t="s">
        <v>97</v>
      </c>
      <c r="C112" t="s">
        <v>21</v>
      </c>
      <c r="D112" t="s">
        <v>14</v>
      </c>
      <c r="E112" s="7">
        <v>336</v>
      </c>
      <c r="F112" s="8">
        <v>8600</v>
      </c>
      <c r="G112" s="8">
        <f t="shared" si="4"/>
        <v>10750</v>
      </c>
      <c r="H112" s="8">
        <f t="shared" si="5"/>
        <v>3612000</v>
      </c>
      <c r="I112" s="8">
        <f t="shared" si="6"/>
        <v>2889600</v>
      </c>
      <c r="J112" s="8">
        <f t="shared" si="7"/>
        <v>722400</v>
      </c>
      <c r="K112" s="9">
        <v>45834</v>
      </c>
      <c r="L112" s="10">
        <f>Table1[[#This Row],[Profit]]/Table1[[#This Row],[Sales]]</f>
        <v>0.2</v>
      </c>
    </row>
    <row r="113" spans="1:12">
      <c r="A113" t="s">
        <v>19</v>
      </c>
      <c r="B113" t="s">
        <v>26</v>
      </c>
      <c r="C113" t="s">
        <v>21</v>
      </c>
      <c r="D113" t="s">
        <v>14</v>
      </c>
      <c r="E113" s="7">
        <v>227</v>
      </c>
      <c r="F113" s="8">
        <v>2300</v>
      </c>
      <c r="G113" s="8">
        <f t="shared" si="4"/>
        <v>2875</v>
      </c>
      <c r="H113" s="8">
        <f t="shared" si="5"/>
        <v>652625</v>
      </c>
      <c r="I113" s="8">
        <f t="shared" si="6"/>
        <v>522100</v>
      </c>
      <c r="J113" s="8">
        <f t="shared" si="7"/>
        <v>130525</v>
      </c>
      <c r="K113" s="9">
        <v>45835</v>
      </c>
      <c r="L113" s="10">
        <f>Table1[[#This Row],[Profit]]/Table1[[#This Row],[Sales]]</f>
        <v>0.2</v>
      </c>
    </row>
    <row r="114" spans="1:12">
      <c r="A114" t="s">
        <v>19</v>
      </c>
      <c r="B114" t="s">
        <v>26</v>
      </c>
      <c r="C114" t="s">
        <v>21</v>
      </c>
      <c r="D114" t="s">
        <v>14</v>
      </c>
      <c r="E114" s="7">
        <v>782</v>
      </c>
      <c r="F114" s="8">
        <v>3800</v>
      </c>
      <c r="G114" s="8">
        <f t="shared" si="4"/>
        <v>4750</v>
      </c>
      <c r="H114" s="8">
        <f t="shared" si="5"/>
        <v>3714500</v>
      </c>
      <c r="I114" s="8">
        <f t="shared" si="6"/>
        <v>2971600</v>
      </c>
      <c r="J114" s="8">
        <f t="shared" si="7"/>
        <v>742900</v>
      </c>
      <c r="K114" s="9">
        <v>45838</v>
      </c>
      <c r="L114" s="10">
        <f>Table1[[#This Row],[Profit]]/Table1[[#This Row],[Sales]]</f>
        <v>0.2</v>
      </c>
    </row>
    <row r="115" spans="1:12">
      <c r="A115" t="s">
        <v>19</v>
      </c>
      <c r="B115" t="s">
        <v>77</v>
      </c>
      <c r="C115" t="s">
        <v>37</v>
      </c>
      <c r="D115" t="s">
        <v>14</v>
      </c>
      <c r="E115" s="7">
        <v>2863</v>
      </c>
      <c r="F115" s="8">
        <v>15200</v>
      </c>
      <c r="G115" s="8">
        <f t="shared" si="4"/>
        <v>19000</v>
      </c>
      <c r="H115" s="8">
        <f t="shared" si="5"/>
        <v>54397000</v>
      </c>
      <c r="I115" s="8">
        <f t="shared" si="6"/>
        <v>43517600</v>
      </c>
      <c r="J115" s="8">
        <f t="shared" si="7"/>
        <v>10879400</v>
      </c>
      <c r="K115" s="9">
        <v>45839</v>
      </c>
      <c r="L115" s="10">
        <f>Table1[[#This Row],[Profit]]/Table1[[#This Row],[Sales]]</f>
        <v>0.2</v>
      </c>
    </row>
    <row r="116" spans="1:12">
      <c r="A116" t="s">
        <v>19</v>
      </c>
      <c r="B116" t="s">
        <v>88</v>
      </c>
      <c r="C116" t="s">
        <v>17</v>
      </c>
      <c r="D116" t="s">
        <v>14</v>
      </c>
      <c r="E116" s="7">
        <v>1530</v>
      </c>
      <c r="F116" s="8">
        <v>17600</v>
      </c>
      <c r="G116" s="8">
        <f t="shared" si="4"/>
        <v>22000</v>
      </c>
      <c r="H116" s="8">
        <f t="shared" si="5"/>
        <v>33660000</v>
      </c>
      <c r="I116" s="8">
        <f t="shared" si="6"/>
        <v>26928000</v>
      </c>
      <c r="J116" s="8">
        <f t="shared" si="7"/>
        <v>6732000</v>
      </c>
      <c r="K116" s="9">
        <v>45844</v>
      </c>
      <c r="L116" s="10">
        <f>Table1[[#This Row],[Profit]]/Table1[[#This Row],[Sales]]</f>
        <v>0.2</v>
      </c>
    </row>
    <row r="117" spans="1:12">
      <c r="A117" t="s">
        <v>19</v>
      </c>
      <c r="B117" t="s">
        <v>77</v>
      </c>
      <c r="C117" t="s">
        <v>68</v>
      </c>
      <c r="D117" t="s">
        <v>14</v>
      </c>
      <c r="E117" s="7">
        <v>2507</v>
      </c>
      <c r="F117" s="8">
        <v>9800</v>
      </c>
      <c r="G117" s="8">
        <f t="shared" si="4"/>
        <v>12250</v>
      </c>
      <c r="H117" s="8">
        <f t="shared" si="5"/>
        <v>30710750</v>
      </c>
      <c r="I117" s="8">
        <f t="shared" si="6"/>
        <v>24568600</v>
      </c>
      <c r="J117" s="8">
        <f t="shared" si="7"/>
        <v>6142150</v>
      </c>
      <c r="K117" s="9">
        <v>45845</v>
      </c>
      <c r="L117" s="10">
        <f>Table1[[#This Row],[Profit]]/Table1[[#This Row],[Sales]]</f>
        <v>0.2</v>
      </c>
    </row>
    <row r="118" spans="1:12">
      <c r="A118" t="s">
        <v>19</v>
      </c>
      <c r="B118" t="s">
        <v>62</v>
      </c>
      <c r="C118" t="s">
        <v>31</v>
      </c>
      <c r="D118" t="s">
        <v>14</v>
      </c>
      <c r="E118" s="7">
        <v>2271</v>
      </c>
      <c r="F118" s="8">
        <v>16200</v>
      </c>
      <c r="G118" s="8">
        <f t="shared" si="4"/>
        <v>20250</v>
      </c>
      <c r="H118" s="8">
        <f t="shared" si="5"/>
        <v>45987750</v>
      </c>
      <c r="I118" s="8">
        <f t="shared" si="6"/>
        <v>36790200</v>
      </c>
      <c r="J118" s="8">
        <f t="shared" si="7"/>
        <v>9197550</v>
      </c>
      <c r="K118" s="9">
        <v>45845</v>
      </c>
      <c r="L118" s="10">
        <f>Table1[[#This Row],[Profit]]/Table1[[#This Row],[Sales]]</f>
        <v>0.2</v>
      </c>
    </row>
    <row r="119" spans="1:12">
      <c r="A119" t="s">
        <v>19</v>
      </c>
      <c r="B119" t="s">
        <v>20</v>
      </c>
      <c r="C119" t="s">
        <v>68</v>
      </c>
      <c r="D119" t="s">
        <v>14</v>
      </c>
      <c r="E119" s="7">
        <v>762</v>
      </c>
      <c r="F119" s="8">
        <v>13100</v>
      </c>
      <c r="G119" s="8">
        <f t="shared" si="4"/>
        <v>16375</v>
      </c>
      <c r="H119" s="8">
        <f t="shared" si="5"/>
        <v>12477750</v>
      </c>
      <c r="I119" s="8">
        <f t="shared" si="6"/>
        <v>9982200</v>
      </c>
      <c r="J119" s="8">
        <f t="shared" si="7"/>
        <v>2495550</v>
      </c>
      <c r="K119" s="9">
        <v>45848</v>
      </c>
      <c r="L119" s="10">
        <f>Table1[[#This Row],[Profit]]/Table1[[#This Row],[Sales]]</f>
        <v>0.2</v>
      </c>
    </row>
    <row r="120" spans="1:12">
      <c r="A120" t="s">
        <v>19</v>
      </c>
      <c r="B120" t="s">
        <v>88</v>
      </c>
      <c r="C120" t="s">
        <v>63</v>
      </c>
      <c r="D120" t="s">
        <v>14</v>
      </c>
      <c r="E120" s="7">
        <v>2055</v>
      </c>
      <c r="F120" s="8">
        <v>4500</v>
      </c>
      <c r="G120" s="8">
        <f t="shared" si="4"/>
        <v>5625</v>
      </c>
      <c r="H120" s="8">
        <f t="shared" si="5"/>
        <v>11559375</v>
      </c>
      <c r="I120" s="8">
        <f t="shared" si="6"/>
        <v>9247500</v>
      </c>
      <c r="J120" s="8">
        <f t="shared" si="7"/>
        <v>2311875</v>
      </c>
      <c r="K120" s="9">
        <v>45848</v>
      </c>
      <c r="L120" s="10">
        <f>Table1[[#This Row],[Profit]]/Table1[[#This Row],[Sales]]</f>
        <v>0.2</v>
      </c>
    </row>
    <row r="121" spans="1:12">
      <c r="A121" t="s">
        <v>19</v>
      </c>
      <c r="B121" t="s">
        <v>62</v>
      </c>
      <c r="C121" t="s">
        <v>79</v>
      </c>
      <c r="D121" t="s">
        <v>14</v>
      </c>
      <c r="E121" s="7">
        <v>762</v>
      </c>
      <c r="F121" s="8">
        <v>22600</v>
      </c>
      <c r="G121" s="8">
        <f t="shared" si="4"/>
        <v>28250</v>
      </c>
      <c r="H121" s="8">
        <f t="shared" si="5"/>
        <v>21526500</v>
      </c>
      <c r="I121" s="8">
        <f t="shared" si="6"/>
        <v>17221200</v>
      </c>
      <c r="J121" s="8">
        <f t="shared" si="7"/>
        <v>4305300</v>
      </c>
      <c r="K121" s="9">
        <v>45850</v>
      </c>
      <c r="L121" s="10">
        <f>Table1[[#This Row],[Profit]]/Table1[[#This Row],[Sales]]</f>
        <v>0.2</v>
      </c>
    </row>
    <row r="122" spans="1:12">
      <c r="A122" t="s">
        <v>19</v>
      </c>
      <c r="B122" t="s">
        <v>39</v>
      </c>
      <c r="C122" t="s">
        <v>21</v>
      </c>
      <c r="D122" t="s">
        <v>14</v>
      </c>
      <c r="E122" s="7">
        <v>2564</v>
      </c>
      <c r="F122" s="8">
        <v>5100</v>
      </c>
      <c r="G122" s="8">
        <f t="shared" si="4"/>
        <v>6375</v>
      </c>
      <c r="H122" s="8">
        <f t="shared" si="5"/>
        <v>16345500</v>
      </c>
      <c r="I122" s="8">
        <f t="shared" si="6"/>
        <v>13076400</v>
      </c>
      <c r="J122" s="8">
        <f t="shared" si="7"/>
        <v>3269100</v>
      </c>
      <c r="K122" s="9">
        <v>45851</v>
      </c>
      <c r="L122" s="10">
        <f>Table1[[#This Row],[Profit]]/Table1[[#This Row],[Sales]]</f>
        <v>0.2</v>
      </c>
    </row>
    <row r="123" spans="1:12">
      <c r="A123" t="s">
        <v>19</v>
      </c>
      <c r="B123" t="s">
        <v>62</v>
      </c>
      <c r="C123" t="s">
        <v>27</v>
      </c>
      <c r="D123" t="s">
        <v>14</v>
      </c>
      <c r="E123" s="7">
        <v>827</v>
      </c>
      <c r="F123" s="8">
        <v>17700</v>
      </c>
      <c r="G123" s="8">
        <f t="shared" si="4"/>
        <v>22125</v>
      </c>
      <c r="H123" s="8">
        <f t="shared" si="5"/>
        <v>18297375</v>
      </c>
      <c r="I123" s="8">
        <f t="shared" si="6"/>
        <v>14637900</v>
      </c>
      <c r="J123" s="8">
        <f t="shared" si="7"/>
        <v>3659475</v>
      </c>
      <c r="K123" s="9">
        <v>45855</v>
      </c>
      <c r="L123" s="10">
        <f>Table1[[#This Row],[Profit]]/Table1[[#This Row],[Sales]]</f>
        <v>0.2</v>
      </c>
    </row>
    <row r="124" spans="1:12">
      <c r="A124" t="s">
        <v>19</v>
      </c>
      <c r="B124" t="s">
        <v>77</v>
      </c>
      <c r="C124" t="s">
        <v>21</v>
      </c>
      <c r="D124" t="s">
        <v>14</v>
      </c>
      <c r="E124" s="7">
        <v>175</v>
      </c>
      <c r="F124" s="8">
        <v>19300</v>
      </c>
      <c r="G124" s="8">
        <f t="shared" si="4"/>
        <v>24125</v>
      </c>
      <c r="H124" s="8">
        <f t="shared" si="5"/>
        <v>4221875</v>
      </c>
      <c r="I124" s="8">
        <f t="shared" si="6"/>
        <v>3377500</v>
      </c>
      <c r="J124" s="8">
        <f t="shared" si="7"/>
        <v>844375</v>
      </c>
      <c r="K124" s="9">
        <v>45855</v>
      </c>
      <c r="L124" s="10">
        <f>Table1[[#This Row],[Profit]]/Table1[[#This Row],[Sales]]</f>
        <v>0.2</v>
      </c>
    </row>
    <row r="125" spans="1:12">
      <c r="A125" t="s">
        <v>19</v>
      </c>
      <c r="B125" t="s">
        <v>36</v>
      </c>
      <c r="C125" t="s">
        <v>37</v>
      </c>
      <c r="D125" t="s">
        <v>14</v>
      </c>
      <c r="E125" s="7">
        <v>1837</v>
      </c>
      <c r="F125" s="8">
        <v>13200</v>
      </c>
      <c r="G125" s="8">
        <f t="shared" si="4"/>
        <v>16500</v>
      </c>
      <c r="H125" s="8">
        <f t="shared" si="5"/>
        <v>30310500</v>
      </c>
      <c r="I125" s="8">
        <f t="shared" si="6"/>
        <v>24248400</v>
      </c>
      <c r="J125" s="8">
        <f t="shared" si="7"/>
        <v>6062100</v>
      </c>
      <c r="K125" s="9">
        <v>45858</v>
      </c>
      <c r="L125" s="10">
        <f>Table1[[#This Row],[Profit]]/Table1[[#This Row],[Sales]]</f>
        <v>0.2</v>
      </c>
    </row>
    <row r="126" spans="1:12">
      <c r="A126" t="s">
        <v>19</v>
      </c>
      <c r="B126" t="s">
        <v>20</v>
      </c>
      <c r="C126" t="s">
        <v>27</v>
      </c>
      <c r="D126" t="s">
        <v>14</v>
      </c>
      <c r="E126" s="7">
        <v>1609</v>
      </c>
      <c r="F126" s="8">
        <v>12000</v>
      </c>
      <c r="G126" s="8">
        <f t="shared" si="4"/>
        <v>15000</v>
      </c>
      <c r="H126" s="8">
        <f t="shared" si="5"/>
        <v>24135000</v>
      </c>
      <c r="I126" s="8">
        <f t="shared" si="6"/>
        <v>19308000</v>
      </c>
      <c r="J126" s="8">
        <f t="shared" si="7"/>
        <v>4827000</v>
      </c>
      <c r="K126" s="9">
        <v>45858</v>
      </c>
      <c r="L126" s="10">
        <f>Table1[[#This Row],[Profit]]/Table1[[#This Row],[Sales]]</f>
        <v>0.2</v>
      </c>
    </row>
    <row r="127" spans="1:12">
      <c r="A127" t="s">
        <v>19</v>
      </c>
      <c r="B127" t="s">
        <v>98</v>
      </c>
      <c r="C127" t="s">
        <v>68</v>
      </c>
      <c r="D127" t="s">
        <v>14</v>
      </c>
      <c r="E127" s="7">
        <v>2276</v>
      </c>
      <c r="F127" s="8">
        <v>4100</v>
      </c>
      <c r="G127" s="8">
        <f t="shared" si="4"/>
        <v>5125</v>
      </c>
      <c r="H127" s="8">
        <f t="shared" si="5"/>
        <v>11664500</v>
      </c>
      <c r="I127" s="8">
        <f t="shared" si="6"/>
        <v>9331600</v>
      </c>
      <c r="J127" s="8">
        <f t="shared" si="7"/>
        <v>2332900</v>
      </c>
      <c r="K127" s="9">
        <v>45860</v>
      </c>
      <c r="L127" s="10">
        <f>Table1[[#This Row],[Profit]]/Table1[[#This Row],[Sales]]</f>
        <v>0.2</v>
      </c>
    </row>
    <row r="128" spans="1:12">
      <c r="A128" t="s">
        <v>19</v>
      </c>
      <c r="B128" t="s">
        <v>39</v>
      </c>
      <c r="C128" t="s">
        <v>21</v>
      </c>
      <c r="D128" t="s">
        <v>14</v>
      </c>
      <c r="E128" s="7">
        <v>1553</v>
      </c>
      <c r="F128" s="8">
        <v>18700</v>
      </c>
      <c r="G128" s="8">
        <f t="shared" si="4"/>
        <v>23375</v>
      </c>
      <c r="H128" s="8">
        <f t="shared" si="5"/>
        <v>36301375</v>
      </c>
      <c r="I128" s="8">
        <f t="shared" si="6"/>
        <v>29041100</v>
      </c>
      <c r="J128" s="8">
        <f t="shared" si="7"/>
        <v>7260275</v>
      </c>
      <c r="K128" s="9">
        <v>45860</v>
      </c>
      <c r="L128" s="10">
        <f>Table1[[#This Row],[Profit]]/Table1[[#This Row],[Sales]]</f>
        <v>0.2</v>
      </c>
    </row>
    <row r="129" spans="1:12">
      <c r="A129" t="s">
        <v>19</v>
      </c>
      <c r="B129" t="s">
        <v>97</v>
      </c>
      <c r="C129" t="s">
        <v>63</v>
      </c>
      <c r="D129" t="s">
        <v>14</v>
      </c>
      <c r="E129" s="7">
        <v>2606</v>
      </c>
      <c r="F129" s="8">
        <v>17800</v>
      </c>
      <c r="G129" s="8">
        <f t="shared" si="4"/>
        <v>22250</v>
      </c>
      <c r="H129" s="8">
        <f t="shared" si="5"/>
        <v>57983500</v>
      </c>
      <c r="I129" s="8">
        <f t="shared" si="6"/>
        <v>46386800</v>
      </c>
      <c r="J129" s="8">
        <f t="shared" si="7"/>
        <v>11596700</v>
      </c>
      <c r="K129" s="9">
        <v>45860</v>
      </c>
      <c r="L129" s="10">
        <f>Table1[[#This Row],[Profit]]/Table1[[#This Row],[Sales]]</f>
        <v>0.2</v>
      </c>
    </row>
    <row r="130" spans="1:12">
      <c r="A130" t="s">
        <v>19</v>
      </c>
      <c r="B130" t="s">
        <v>62</v>
      </c>
      <c r="C130" t="s">
        <v>13</v>
      </c>
      <c r="D130" t="s">
        <v>14</v>
      </c>
      <c r="E130" s="7">
        <v>1276</v>
      </c>
      <c r="F130" s="8">
        <v>21500</v>
      </c>
      <c r="G130" s="8">
        <f t="shared" ref="G130:G193" si="8">ROUNDDOWN(F130/100,0)*100*1.25</f>
        <v>26875</v>
      </c>
      <c r="H130" s="8">
        <f t="shared" ref="H130:H193" si="9">E130*G130</f>
        <v>34292500</v>
      </c>
      <c r="I130" s="8">
        <f t="shared" ref="I130:I193" si="10">E130*F130</f>
        <v>27434000</v>
      </c>
      <c r="J130" s="8">
        <f t="shared" ref="J130:J193" si="11">H130-I130</f>
        <v>6858500</v>
      </c>
      <c r="K130" s="9">
        <v>45861</v>
      </c>
      <c r="L130" s="10">
        <f>Table1[[#This Row],[Profit]]/Table1[[#This Row],[Sales]]</f>
        <v>0.2</v>
      </c>
    </row>
    <row r="131" spans="1:12">
      <c r="A131" t="s">
        <v>19</v>
      </c>
      <c r="B131" t="s">
        <v>88</v>
      </c>
      <c r="C131" t="s">
        <v>31</v>
      </c>
      <c r="D131" t="s">
        <v>14</v>
      </c>
      <c r="E131" s="7">
        <v>2410</v>
      </c>
      <c r="F131" s="8">
        <v>12200</v>
      </c>
      <c r="G131" s="8">
        <f t="shared" si="8"/>
        <v>15250</v>
      </c>
      <c r="H131" s="8">
        <f t="shared" si="9"/>
        <v>36752500</v>
      </c>
      <c r="I131" s="8">
        <f t="shared" si="10"/>
        <v>29402000</v>
      </c>
      <c r="J131" s="8">
        <f t="shared" si="11"/>
        <v>7350500</v>
      </c>
      <c r="K131" s="9">
        <v>45862</v>
      </c>
      <c r="L131" s="10">
        <f>Table1[[#This Row],[Profit]]/Table1[[#This Row],[Sales]]</f>
        <v>0.2</v>
      </c>
    </row>
    <row r="132" spans="1:12">
      <c r="A132" t="s">
        <v>19</v>
      </c>
      <c r="B132" t="s">
        <v>62</v>
      </c>
      <c r="C132" t="s">
        <v>63</v>
      </c>
      <c r="D132" t="s">
        <v>14</v>
      </c>
      <c r="E132" s="7">
        <v>2415</v>
      </c>
      <c r="F132" s="8">
        <v>22400</v>
      </c>
      <c r="G132" s="8">
        <f t="shared" si="8"/>
        <v>28000</v>
      </c>
      <c r="H132" s="8">
        <f t="shared" si="9"/>
        <v>67620000</v>
      </c>
      <c r="I132" s="8">
        <f t="shared" si="10"/>
        <v>54096000</v>
      </c>
      <c r="J132" s="8">
        <f t="shared" si="11"/>
        <v>13524000</v>
      </c>
      <c r="K132" s="9">
        <v>45862</v>
      </c>
      <c r="L132" s="10">
        <f>Table1[[#This Row],[Profit]]/Table1[[#This Row],[Sales]]</f>
        <v>0.2</v>
      </c>
    </row>
    <row r="133" spans="1:12">
      <c r="A133" t="s">
        <v>19</v>
      </c>
      <c r="B133" t="s">
        <v>26</v>
      </c>
      <c r="C133" t="s">
        <v>27</v>
      </c>
      <c r="D133" t="s">
        <v>14</v>
      </c>
      <c r="E133" s="7">
        <v>699</v>
      </c>
      <c r="F133" s="8">
        <v>18900</v>
      </c>
      <c r="G133" s="8">
        <f t="shared" si="8"/>
        <v>23625</v>
      </c>
      <c r="H133" s="8">
        <f t="shared" si="9"/>
        <v>16513875</v>
      </c>
      <c r="I133" s="8">
        <f t="shared" si="10"/>
        <v>13211100</v>
      </c>
      <c r="J133" s="8">
        <f t="shared" si="11"/>
        <v>3302775</v>
      </c>
      <c r="K133" s="9">
        <v>45862</v>
      </c>
      <c r="L133" s="10">
        <f>Table1[[#This Row],[Profit]]/Table1[[#This Row],[Sales]]</f>
        <v>0.2</v>
      </c>
    </row>
    <row r="134" spans="1:12">
      <c r="A134" t="s">
        <v>19</v>
      </c>
      <c r="B134" t="s">
        <v>88</v>
      </c>
      <c r="C134" t="s">
        <v>37</v>
      </c>
      <c r="D134" t="s">
        <v>14</v>
      </c>
      <c r="E134" s="7">
        <v>1150</v>
      </c>
      <c r="F134" s="8">
        <v>24000</v>
      </c>
      <c r="G134" s="8">
        <f t="shared" si="8"/>
        <v>30000</v>
      </c>
      <c r="H134" s="8">
        <f t="shared" si="9"/>
        <v>34500000</v>
      </c>
      <c r="I134" s="8">
        <f t="shared" si="10"/>
        <v>27600000</v>
      </c>
      <c r="J134" s="8">
        <f t="shared" si="11"/>
        <v>6900000</v>
      </c>
      <c r="K134" s="9">
        <v>45864</v>
      </c>
      <c r="L134" s="10">
        <f>Table1[[#This Row],[Profit]]/Table1[[#This Row],[Sales]]</f>
        <v>0.2</v>
      </c>
    </row>
    <row r="135" spans="1:12">
      <c r="A135" t="s">
        <v>19</v>
      </c>
      <c r="B135" t="s">
        <v>26</v>
      </c>
      <c r="C135" t="s">
        <v>37</v>
      </c>
      <c r="D135" t="s">
        <v>14</v>
      </c>
      <c r="E135" s="7">
        <v>2393</v>
      </c>
      <c r="F135" s="8">
        <v>14800</v>
      </c>
      <c r="G135" s="8">
        <f t="shared" si="8"/>
        <v>18500</v>
      </c>
      <c r="H135" s="8">
        <f t="shared" si="9"/>
        <v>44270500</v>
      </c>
      <c r="I135" s="8">
        <f t="shared" si="10"/>
        <v>35416400</v>
      </c>
      <c r="J135" s="8">
        <f t="shared" si="11"/>
        <v>8854100</v>
      </c>
      <c r="K135" s="9">
        <v>45865</v>
      </c>
      <c r="L135" s="10">
        <f>Table1[[#This Row],[Profit]]/Table1[[#This Row],[Sales]]</f>
        <v>0.2</v>
      </c>
    </row>
    <row r="136" spans="1:12">
      <c r="A136" t="s">
        <v>19</v>
      </c>
      <c r="B136" t="s">
        <v>20</v>
      </c>
      <c r="C136" t="s">
        <v>27</v>
      </c>
      <c r="D136" t="s">
        <v>14</v>
      </c>
      <c r="E136" s="7">
        <v>1880</v>
      </c>
      <c r="F136" s="8">
        <v>13600</v>
      </c>
      <c r="G136" s="8">
        <f t="shared" si="8"/>
        <v>17000</v>
      </c>
      <c r="H136" s="8">
        <f t="shared" si="9"/>
        <v>31960000</v>
      </c>
      <c r="I136" s="8">
        <f t="shared" si="10"/>
        <v>25568000</v>
      </c>
      <c r="J136" s="8">
        <f t="shared" si="11"/>
        <v>6392000</v>
      </c>
      <c r="K136" s="9">
        <v>45868</v>
      </c>
      <c r="L136" s="10">
        <f>Table1[[#This Row],[Profit]]/Table1[[#This Row],[Sales]]</f>
        <v>0.2</v>
      </c>
    </row>
    <row r="137" spans="1:12">
      <c r="A137" t="s">
        <v>19</v>
      </c>
      <c r="B137" t="s">
        <v>26</v>
      </c>
      <c r="C137" t="s">
        <v>68</v>
      </c>
      <c r="D137" t="s">
        <v>14</v>
      </c>
      <c r="E137" s="7">
        <v>2861</v>
      </c>
      <c r="F137" s="8">
        <v>15200</v>
      </c>
      <c r="G137" s="8">
        <f t="shared" si="8"/>
        <v>19000</v>
      </c>
      <c r="H137" s="8">
        <f t="shared" si="9"/>
        <v>54359000</v>
      </c>
      <c r="I137" s="8">
        <f t="shared" si="10"/>
        <v>43487200</v>
      </c>
      <c r="J137" s="8">
        <f t="shared" si="11"/>
        <v>10871800</v>
      </c>
      <c r="K137" s="9">
        <v>45868</v>
      </c>
      <c r="L137" s="10">
        <f>Table1[[#This Row],[Profit]]/Table1[[#This Row],[Sales]]</f>
        <v>0.2</v>
      </c>
    </row>
    <row r="138" spans="1:12">
      <c r="A138" t="s">
        <v>19</v>
      </c>
      <c r="B138" t="s">
        <v>36</v>
      </c>
      <c r="C138" t="s">
        <v>21</v>
      </c>
      <c r="D138" t="s">
        <v>14</v>
      </c>
      <c r="E138" s="7">
        <v>1786</v>
      </c>
      <c r="F138" s="8">
        <v>16600</v>
      </c>
      <c r="G138" s="8">
        <f t="shared" si="8"/>
        <v>20750</v>
      </c>
      <c r="H138" s="8">
        <f t="shared" si="9"/>
        <v>37059500</v>
      </c>
      <c r="I138" s="8">
        <f t="shared" si="10"/>
        <v>29647600</v>
      </c>
      <c r="J138" s="8">
        <f t="shared" si="11"/>
        <v>7411900</v>
      </c>
      <c r="K138" s="9">
        <v>45868</v>
      </c>
      <c r="L138" s="10">
        <f>Table1[[#This Row],[Profit]]/Table1[[#This Row],[Sales]]</f>
        <v>0.2</v>
      </c>
    </row>
    <row r="139" spans="1:12">
      <c r="A139" t="s">
        <v>19</v>
      </c>
      <c r="B139" t="s">
        <v>77</v>
      </c>
      <c r="C139" t="s">
        <v>63</v>
      </c>
      <c r="D139" t="s">
        <v>14</v>
      </c>
      <c r="E139" s="7">
        <v>262</v>
      </c>
      <c r="F139" s="8">
        <v>9800</v>
      </c>
      <c r="G139" s="8">
        <f t="shared" si="8"/>
        <v>12250</v>
      </c>
      <c r="H139" s="8">
        <f t="shared" si="9"/>
        <v>3209500</v>
      </c>
      <c r="I139" s="8">
        <f t="shared" si="10"/>
        <v>2567600</v>
      </c>
      <c r="J139" s="8">
        <f t="shared" si="11"/>
        <v>641900</v>
      </c>
      <c r="K139" s="9">
        <v>45869</v>
      </c>
      <c r="L139" s="10">
        <f>Table1[[#This Row],[Profit]]/Table1[[#This Row],[Sales]]</f>
        <v>0.2</v>
      </c>
    </row>
    <row r="140" spans="1:12">
      <c r="A140" t="s">
        <v>19</v>
      </c>
      <c r="B140" t="s">
        <v>88</v>
      </c>
      <c r="C140" t="s">
        <v>34</v>
      </c>
      <c r="D140" t="s">
        <v>14</v>
      </c>
      <c r="E140" s="7">
        <v>1669</v>
      </c>
      <c r="F140" s="8">
        <v>6300</v>
      </c>
      <c r="G140" s="8">
        <f t="shared" si="8"/>
        <v>7875</v>
      </c>
      <c r="H140" s="8">
        <f t="shared" si="9"/>
        <v>13143375</v>
      </c>
      <c r="I140" s="8">
        <f t="shared" si="10"/>
        <v>10514700</v>
      </c>
      <c r="J140" s="8">
        <f t="shared" si="11"/>
        <v>2628675</v>
      </c>
      <c r="K140" s="9">
        <v>45869</v>
      </c>
      <c r="L140" s="10">
        <f>Table1[[#This Row],[Profit]]/Table1[[#This Row],[Sales]]</f>
        <v>0.2</v>
      </c>
    </row>
    <row r="141" spans="1:12">
      <c r="A141" t="s">
        <v>19</v>
      </c>
      <c r="B141" t="s">
        <v>97</v>
      </c>
      <c r="C141" t="s">
        <v>21</v>
      </c>
      <c r="D141" t="s">
        <v>14</v>
      </c>
      <c r="E141" s="7">
        <v>928</v>
      </c>
      <c r="F141" s="8">
        <v>17800</v>
      </c>
      <c r="G141" s="8">
        <f t="shared" si="8"/>
        <v>22250</v>
      </c>
      <c r="H141" s="8">
        <f t="shared" si="9"/>
        <v>20648000</v>
      </c>
      <c r="I141" s="8">
        <f t="shared" si="10"/>
        <v>16518400</v>
      </c>
      <c r="J141" s="8">
        <f t="shared" si="11"/>
        <v>4129600</v>
      </c>
      <c r="K141" s="9">
        <v>45870</v>
      </c>
      <c r="L141" s="10">
        <f>Table1[[#This Row],[Profit]]/Table1[[#This Row],[Sales]]</f>
        <v>0.2</v>
      </c>
    </row>
    <row r="142" spans="1:12">
      <c r="A142" t="s">
        <v>19</v>
      </c>
      <c r="B142" t="s">
        <v>26</v>
      </c>
      <c r="C142" t="s">
        <v>17</v>
      </c>
      <c r="D142" t="s">
        <v>14</v>
      </c>
      <c r="E142" s="7">
        <v>113</v>
      </c>
      <c r="F142" s="8">
        <v>3000</v>
      </c>
      <c r="G142" s="8">
        <f t="shared" si="8"/>
        <v>3750</v>
      </c>
      <c r="H142" s="8">
        <f t="shared" si="9"/>
        <v>423750</v>
      </c>
      <c r="I142" s="8">
        <f t="shared" si="10"/>
        <v>339000</v>
      </c>
      <c r="J142" s="8">
        <f t="shared" si="11"/>
        <v>84750</v>
      </c>
      <c r="K142" s="9">
        <v>45870</v>
      </c>
      <c r="L142" s="10">
        <f>Table1[[#This Row],[Profit]]/Table1[[#This Row],[Sales]]</f>
        <v>0.2</v>
      </c>
    </row>
    <row r="143" spans="1:12">
      <c r="A143" t="s">
        <v>19</v>
      </c>
      <c r="B143" t="s">
        <v>98</v>
      </c>
      <c r="C143" t="s">
        <v>79</v>
      </c>
      <c r="D143" t="s">
        <v>14</v>
      </c>
      <c r="E143" s="7">
        <v>269</v>
      </c>
      <c r="F143" s="8">
        <v>10700</v>
      </c>
      <c r="G143" s="8">
        <f t="shared" si="8"/>
        <v>13375</v>
      </c>
      <c r="H143" s="8">
        <f t="shared" si="9"/>
        <v>3597875</v>
      </c>
      <c r="I143" s="8">
        <f t="shared" si="10"/>
        <v>2878300</v>
      </c>
      <c r="J143" s="8">
        <f t="shared" si="11"/>
        <v>719575</v>
      </c>
      <c r="K143" s="9">
        <v>45871</v>
      </c>
      <c r="L143" s="10">
        <f>Table1[[#This Row],[Profit]]/Table1[[#This Row],[Sales]]</f>
        <v>0.2</v>
      </c>
    </row>
    <row r="144" spans="1:12">
      <c r="A144" t="s">
        <v>19</v>
      </c>
      <c r="B144" t="s">
        <v>97</v>
      </c>
      <c r="C144" t="s">
        <v>37</v>
      </c>
      <c r="D144" t="s">
        <v>14</v>
      </c>
      <c r="E144" s="7">
        <v>1950</v>
      </c>
      <c r="F144" s="8">
        <v>11300</v>
      </c>
      <c r="G144" s="8">
        <f t="shared" si="8"/>
        <v>14125</v>
      </c>
      <c r="H144" s="8">
        <f t="shared" si="9"/>
        <v>27543750</v>
      </c>
      <c r="I144" s="8">
        <f t="shared" si="10"/>
        <v>22035000</v>
      </c>
      <c r="J144" s="8">
        <f t="shared" si="11"/>
        <v>5508750</v>
      </c>
      <c r="K144" s="9">
        <v>45876</v>
      </c>
      <c r="L144" s="10">
        <f>Table1[[#This Row],[Profit]]/Table1[[#This Row],[Sales]]</f>
        <v>0.2</v>
      </c>
    </row>
    <row r="145" spans="1:12">
      <c r="A145" t="s">
        <v>19</v>
      </c>
      <c r="B145" t="s">
        <v>62</v>
      </c>
      <c r="C145" t="s">
        <v>27</v>
      </c>
      <c r="D145" t="s">
        <v>14</v>
      </c>
      <c r="E145" s="7">
        <v>383</v>
      </c>
      <c r="F145" s="8">
        <v>22400</v>
      </c>
      <c r="G145" s="8">
        <f t="shared" si="8"/>
        <v>28000</v>
      </c>
      <c r="H145" s="8">
        <f t="shared" si="9"/>
        <v>10724000</v>
      </c>
      <c r="I145" s="8">
        <f t="shared" si="10"/>
        <v>8579200</v>
      </c>
      <c r="J145" s="8">
        <f t="shared" si="11"/>
        <v>2144800</v>
      </c>
      <c r="K145" s="9">
        <v>45880</v>
      </c>
      <c r="L145" s="10">
        <f>Table1[[#This Row],[Profit]]/Table1[[#This Row],[Sales]]</f>
        <v>0.2</v>
      </c>
    </row>
    <row r="146" spans="1:12">
      <c r="A146" t="s">
        <v>19</v>
      </c>
      <c r="B146" t="s">
        <v>39</v>
      </c>
      <c r="C146" t="s">
        <v>79</v>
      </c>
      <c r="D146" t="s">
        <v>14</v>
      </c>
      <c r="E146" s="7">
        <v>1060</v>
      </c>
      <c r="F146" s="8">
        <v>22800</v>
      </c>
      <c r="G146" s="8">
        <f t="shared" si="8"/>
        <v>28500</v>
      </c>
      <c r="H146" s="8">
        <f t="shared" si="9"/>
        <v>30210000</v>
      </c>
      <c r="I146" s="8">
        <f t="shared" si="10"/>
        <v>24168000</v>
      </c>
      <c r="J146" s="8">
        <f t="shared" si="11"/>
        <v>6042000</v>
      </c>
      <c r="K146" s="9">
        <v>45880</v>
      </c>
      <c r="L146" s="10">
        <f>Table1[[#This Row],[Profit]]/Table1[[#This Row],[Sales]]</f>
        <v>0.2</v>
      </c>
    </row>
    <row r="147" spans="1:12">
      <c r="A147" t="s">
        <v>19</v>
      </c>
      <c r="B147" t="s">
        <v>97</v>
      </c>
      <c r="C147" t="s">
        <v>37</v>
      </c>
      <c r="D147" t="s">
        <v>14</v>
      </c>
      <c r="E147" s="7">
        <v>2202</v>
      </c>
      <c r="F147" s="8">
        <v>4500</v>
      </c>
      <c r="G147" s="8">
        <f t="shared" si="8"/>
        <v>5625</v>
      </c>
      <c r="H147" s="8">
        <f t="shared" si="9"/>
        <v>12386250</v>
      </c>
      <c r="I147" s="8">
        <f t="shared" si="10"/>
        <v>9909000</v>
      </c>
      <c r="J147" s="8">
        <f t="shared" si="11"/>
        <v>2477250</v>
      </c>
      <c r="K147" s="9">
        <v>45881</v>
      </c>
      <c r="L147" s="10">
        <f>Table1[[#This Row],[Profit]]/Table1[[#This Row],[Sales]]</f>
        <v>0.2</v>
      </c>
    </row>
    <row r="148" spans="1:12">
      <c r="A148" t="s">
        <v>19</v>
      </c>
      <c r="B148" t="s">
        <v>62</v>
      </c>
      <c r="C148" t="s">
        <v>34</v>
      </c>
      <c r="D148" t="s">
        <v>14</v>
      </c>
      <c r="E148" s="7">
        <v>2287</v>
      </c>
      <c r="F148" s="8">
        <v>4700</v>
      </c>
      <c r="G148" s="8">
        <f t="shared" si="8"/>
        <v>5875</v>
      </c>
      <c r="H148" s="8">
        <f t="shared" si="9"/>
        <v>13436125</v>
      </c>
      <c r="I148" s="8">
        <f t="shared" si="10"/>
        <v>10748900</v>
      </c>
      <c r="J148" s="8">
        <f t="shared" si="11"/>
        <v>2687225</v>
      </c>
      <c r="K148" s="9">
        <v>45882</v>
      </c>
      <c r="L148" s="10">
        <f>Table1[[#This Row],[Profit]]/Table1[[#This Row],[Sales]]</f>
        <v>0.2</v>
      </c>
    </row>
    <row r="149" spans="1:12">
      <c r="A149" t="s">
        <v>19</v>
      </c>
      <c r="B149" t="s">
        <v>39</v>
      </c>
      <c r="C149" t="s">
        <v>34</v>
      </c>
      <c r="D149" t="s">
        <v>14</v>
      </c>
      <c r="E149" s="7">
        <v>2162</v>
      </c>
      <c r="F149" s="8">
        <v>14400</v>
      </c>
      <c r="G149" s="8">
        <f t="shared" si="8"/>
        <v>18000</v>
      </c>
      <c r="H149" s="8">
        <f t="shared" si="9"/>
        <v>38916000</v>
      </c>
      <c r="I149" s="8">
        <f t="shared" si="10"/>
        <v>31132800</v>
      </c>
      <c r="J149" s="8">
        <f t="shared" si="11"/>
        <v>7783200</v>
      </c>
      <c r="K149" s="9">
        <v>45883</v>
      </c>
      <c r="L149" s="10">
        <f>Table1[[#This Row],[Profit]]/Table1[[#This Row],[Sales]]</f>
        <v>0.2</v>
      </c>
    </row>
    <row r="150" spans="1:12">
      <c r="A150" t="s">
        <v>19</v>
      </c>
      <c r="B150" t="s">
        <v>20</v>
      </c>
      <c r="C150" t="s">
        <v>21</v>
      </c>
      <c r="D150" t="s">
        <v>14</v>
      </c>
      <c r="E150" s="7">
        <v>949</v>
      </c>
      <c r="F150" s="8">
        <v>20500</v>
      </c>
      <c r="G150" s="8">
        <f t="shared" si="8"/>
        <v>25625</v>
      </c>
      <c r="H150" s="8">
        <f t="shared" si="9"/>
        <v>24318125</v>
      </c>
      <c r="I150" s="8">
        <f t="shared" si="10"/>
        <v>19454500</v>
      </c>
      <c r="J150" s="8">
        <f t="shared" si="11"/>
        <v>4863625</v>
      </c>
      <c r="K150" s="9">
        <v>45883</v>
      </c>
      <c r="L150" s="10">
        <f>Table1[[#This Row],[Profit]]/Table1[[#This Row],[Sales]]</f>
        <v>0.2</v>
      </c>
    </row>
    <row r="151" spans="1:12">
      <c r="A151" t="s">
        <v>19</v>
      </c>
      <c r="B151" t="s">
        <v>97</v>
      </c>
      <c r="C151" t="s">
        <v>34</v>
      </c>
      <c r="D151" t="s">
        <v>14</v>
      </c>
      <c r="E151" s="7">
        <v>216</v>
      </c>
      <c r="F151" s="8">
        <v>11000</v>
      </c>
      <c r="G151" s="8">
        <f t="shared" si="8"/>
        <v>13750</v>
      </c>
      <c r="H151" s="8">
        <f t="shared" si="9"/>
        <v>2970000</v>
      </c>
      <c r="I151" s="8">
        <f t="shared" si="10"/>
        <v>2376000</v>
      </c>
      <c r="J151" s="8">
        <f t="shared" si="11"/>
        <v>594000</v>
      </c>
      <c r="K151" s="9">
        <v>45886</v>
      </c>
      <c r="L151" s="10">
        <f>Table1[[#This Row],[Profit]]/Table1[[#This Row],[Sales]]</f>
        <v>0.2</v>
      </c>
    </row>
    <row r="152" spans="1:12">
      <c r="A152" t="s">
        <v>19</v>
      </c>
      <c r="B152" t="s">
        <v>39</v>
      </c>
      <c r="C152" t="s">
        <v>31</v>
      </c>
      <c r="D152" t="s">
        <v>14</v>
      </c>
      <c r="E152" s="7">
        <v>2752</v>
      </c>
      <c r="F152" s="8">
        <v>1500</v>
      </c>
      <c r="G152" s="8">
        <f t="shared" si="8"/>
        <v>1875</v>
      </c>
      <c r="H152" s="8">
        <f t="shared" si="9"/>
        <v>5160000</v>
      </c>
      <c r="I152" s="8">
        <f t="shared" si="10"/>
        <v>4128000</v>
      </c>
      <c r="J152" s="8">
        <f t="shared" si="11"/>
        <v>1032000</v>
      </c>
      <c r="K152" s="9">
        <v>45889</v>
      </c>
      <c r="L152" s="10">
        <f>Table1[[#This Row],[Profit]]/Table1[[#This Row],[Sales]]</f>
        <v>0.2</v>
      </c>
    </row>
    <row r="153" spans="1:12">
      <c r="A153" t="s">
        <v>19</v>
      </c>
      <c r="B153" t="s">
        <v>62</v>
      </c>
      <c r="C153" t="s">
        <v>13</v>
      </c>
      <c r="D153" t="s">
        <v>14</v>
      </c>
      <c r="E153" s="7">
        <v>2669</v>
      </c>
      <c r="F153" s="8">
        <v>9200</v>
      </c>
      <c r="G153" s="8">
        <f t="shared" si="8"/>
        <v>11500</v>
      </c>
      <c r="H153" s="8">
        <f t="shared" si="9"/>
        <v>30693500</v>
      </c>
      <c r="I153" s="8">
        <f t="shared" si="10"/>
        <v>24554800</v>
      </c>
      <c r="J153" s="8">
        <f t="shared" si="11"/>
        <v>6138700</v>
      </c>
      <c r="K153" s="9">
        <v>45889</v>
      </c>
      <c r="L153" s="10">
        <f>Table1[[#This Row],[Profit]]/Table1[[#This Row],[Sales]]</f>
        <v>0.2</v>
      </c>
    </row>
    <row r="154" spans="1:12">
      <c r="A154" t="s">
        <v>19</v>
      </c>
      <c r="B154" t="s">
        <v>26</v>
      </c>
      <c r="C154" t="s">
        <v>79</v>
      </c>
      <c r="D154" t="s">
        <v>14</v>
      </c>
      <c r="E154" s="7">
        <v>541</v>
      </c>
      <c r="F154" s="8">
        <v>13400</v>
      </c>
      <c r="G154" s="8">
        <f t="shared" si="8"/>
        <v>16750</v>
      </c>
      <c r="H154" s="8">
        <f t="shared" si="9"/>
        <v>9061750</v>
      </c>
      <c r="I154" s="8">
        <f t="shared" si="10"/>
        <v>7249400</v>
      </c>
      <c r="J154" s="8">
        <f t="shared" si="11"/>
        <v>1812350</v>
      </c>
      <c r="K154" s="9">
        <v>45889</v>
      </c>
      <c r="L154" s="10">
        <f>Table1[[#This Row],[Profit]]/Table1[[#This Row],[Sales]]</f>
        <v>0.2</v>
      </c>
    </row>
    <row r="155" spans="1:12">
      <c r="A155" t="s">
        <v>19</v>
      </c>
      <c r="B155" t="s">
        <v>77</v>
      </c>
      <c r="C155" t="s">
        <v>13</v>
      </c>
      <c r="D155" t="s">
        <v>14</v>
      </c>
      <c r="E155" s="7">
        <v>2205</v>
      </c>
      <c r="F155" s="8">
        <v>23400</v>
      </c>
      <c r="G155" s="8">
        <f t="shared" si="8"/>
        <v>29250</v>
      </c>
      <c r="H155" s="8">
        <f t="shared" si="9"/>
        <v>64496250</v>
      </c>
      <c r="I155" s="8">
        <f t="shared" si="10"/>
        <v>51597000</v>
      </c>
      <c r="J155" s="8">
        <f t="shared" si="11"/>
        <v>12899250</v>
      </c>
      <c r="K155" s="9">
        <v>45889</v>
      </c>
      <c r="L155" s="10">
        <f>Table1[[#This Row],[Profit]]/Table1[[#This Row],[Sales]]</f>
        <v>0.2</v>
      </c>
    </row>
    <row r="156" spans="1:12">
      <c r="A156" t="s">
        <v>19</v>
      </c>
      <c r="B156" t="s">
        <v>97</v>
      </c>
      <c r="C156" t="s">
        <v>21</v>
      </c>
      <c r="D156" t="s">
        <v>14</v>
      </c>
      <c r="E156" s="7">
        <v>1276</v>
      </c>
      <c r="F156" s="8">
        <v>3200</v>
      </c>
      <c r="G156" s="8">
        <f t="shared" si="8"/>
        <v>4000</v>
      </c>
      <c r="H156" s="8">
        <f t="shared" si="9"/>
        <v>5104000</v>
      </c>
      <c r="I156" s="8">
        <f t="shared" si="10"/>
        <v>4083200</v>
      </c>
      <c r="J156" s="8">
        <f t="shared" si="11"/>
        <v>1020800</v>
      </c>
      <c r="K156" s="9">
        <v>45890</v>
      </c>
      <c r="L156" s="10">
        <f>Table1[[#This Row],[Profit]]/Table1[[#This Row],[Sales]]</f>
        <v>0.2</v>
      </c>
    </row>
    <row r="157" spans="1:12">
      <c r="A157" t="s">
        <v>19</v>
      </c>
      <c r="B157" t="s">
        <v>77</v>
      </c>
      <c r="C157" t="s">
        <v>17</v>
      </c>
      <c r="D157" t="s">
        <v>14</v>
      </c>
      <c r="E157" s="7">
        <v>2910</v>
      </c>
      <c r="F157" s="8">
        <v>17800</v>
      </c>
      <c r="G157" s="8">
        <f t="shared" si="8"/>
        <v>22250</v>
      </c>
      <c r="H157" s="8">
        <f t="shared" si="9"/>
        <v>64747500</v>
      </c>
      <c r="I157" s="8">
        <f t="shared" si="10"/>
        <v>51798000</v>
      </c>
      <c r="J157" s="8">
        <f t="shared" si="11"/>
        <v>12949500</v>
      </c>
      <c r="K157" s="9">
        <v>45893</v>
      </c>
      <c r="L157" s="10">
        <f>Table1[[#This Row],[Profit]]/Table1[[#This Row],[Sales]]</f>
        <v>0.2</v>
      </c>
    </row>
    <row r="158" spans="1:12">
      <c r="A158" t="s">
        <v>19</v>
      </c>
      <c r="B158" t="s">
        <v>51</v>
      </c>
      <c r="C158" t="s">
        <v>63</v>
      </c>
      <c r="D158" t="s">
        <v>14</v>
      </c>
      <c r="E158" s="7">
        <v>2048</v>
      </c>
      <c r="F158" s="8">
        <v>15000</v>
      </c>
      <c r="G158" s="8">
        <f t="shared" si="8"/>
        <v>18750</v>
      </c>
      <c r="H158" s="8">
        <f t="shared" si="9"/>
        <v>38400000</v>
      </c>
      <c r="I158" s="8">
        <f t="shared" si="10"/>
        <v>30720000</v>
      </c>
      <c r="J158" s="8">
        <f t="shared" si="11"/>
        <v>7680000</v>
      </c>
      <c r="K158" s="9">
        <v>45893</v>
      </c>
      <c r="L158" s="10">
        <f>Table1[[#This Row],[Profit]]/Table1[[#This Row],[Sales]]</f>
        <v>0.2</v>
      </c>
    </row>
    <row r="159" spans="1:12">
      <c r="A159" t="s">
        <v>19</v>
      </c>
      <c r="B159" t="s">
        <v>88</v>
      </c>
      <c r="C159" t="s">
        <v>34</v>
      </c>
      <c r="D159" t="s">
        <v>14</v>
      </c>
      <c r="E159" s="7">
        <v>1115</v>
      </c>
      <c r="F159" s="8">
        <v>8200</v>
      </c>
      <c r="G159" s="8">
        <f t="shared" si="8"/>
        <v>10250</v>
      </c>
      <c r="H159" s="8">
        <f t="shared" si="9"/>
        <v>11428750</v>
      </c>
      <c r="I159" s="8">
        <f t="shared" si="10"/>
        <v>9143000</v>
      </c>
      <c r="J159" s="8">
        <f t="shared" si="11"/>
        <v>2285750</v>
      </c>
      <c r="K159" s="9">
        <v>45894</v>
      </c>
      <c r="L159" s="10">
        <f>Table1[[#This Row],[Profit]]/Table1[[#This Row],[Sales]]</f>
        <v>0.2</v>
      </c>
    </row>
    <row r="160" spans="1:12">
      <c r="A160" t="s">
        <v>19</v>
      </c>
      <c r="B160" t="s">
        <v>26</v>
      </c>
      <c r="C160" t="s">
        <v>79</v>
      </c>
      <c r="D160" t="s">
        <v>14</v>
      </c>
      <c r="E160" s="7">
        <v>248</v>
      </c>
      <c r="F160" s="8">
        <v>20900</v>
      </c>
      <c r="G160" s="8">
        <f t="shared" si="8"/>
        <v>26125</v>
      </c>
      <c r="H160" s="8">
        <f t="shared" si="9"/>
        <v>6479000</v>
      </c>
      <c r="I160" s="8">
        <f t="shared" si="10"/>
        <v>5183200</v>
      </c>
      <c r="J160" s="8">
        <f t="shared" si="11"/>
        <v>1295800</v>
      </c>
      <c r="K160" s="9">
        <v>45894</v>
      </c>
      <c r="L160" s="10">
        <f>Table1[[#This Row],[Profit]]/Table1[[#This Row],[Sales]]</f>
        <v>0.2</v>
      </c>
    </row>
    <row r="161" spans="1:12">
      <c r="A161" t="s">
        <v>19</v>
      </c>
      <c r="B161" t="s">
        <v>98</v>
      </c>
      <c r="C161" t="s">
        <v>79</v>
      </c>
      <c r="D161" t="s">
        <v>14</v>
      </c>
      <c r="E161" s="7">
        <v>1157</v>
      </c>
      <c r="F161" s="8">
        <v>20600</v>
      </c>
      <c r="G161" s="8">
        <f t="shared" si="8"/>
        <v>25750</v>
      </c>
      <c r="H161" s="8">
        <f t="shared" si="9"/>
        <v>29792750</v>
      </c>
      <c r="I161" s="8">
        <f t="shared" si="10"/>
        <v>23834200</v>
      </c>
      <c r="J161" s="8">
        <f t="shared" si="11"/>
        <v>5958550</v>
      </c>
      <c r="K161" s="9">
        <v>45895</v>
      </c>
      <c r="L161" s="10">
        <f>Table1[[#This Row],[Profit]]/Table1[[#This Row],[Sales]]</f>
        <v>0.2</v>
      </c>
    </row>
    <row r="162" spans="1:12">
      <c r="A162" t="s">
        <v>19</v>
      </c>
      <c r="B162" t="s">
        <v>97</v>
      </c>
      <c r="C162" t="s">
        <v>63</v>
      </c>
      <c r="D162" t="s">
        <v>14</v>
      </c>
      <c r="E162" s="7">
        <v>2224</v>
      </c>
      <c r="F162" s="8">
        <v>22300</v>
      </c>
      <c r="G162" s="8">
        <f t="shared" si="8"/>
        <v>27875</v>
      </c>
      <c r="H162" s="8">
        <f t="shared" si="9"/>
        <v>61994000</v>
      </c>
      <c r="I162" s="8">
        <f t="shared" si="10"/>
        <v>49595200</v>
      </c>
      <c r="J162" s="8">
        <f t="shared" si="11"/>
        <v>12398800</v>
      </c>
      <c r="K162" s="9">
        <v>45895</v>
      </c>
      <c r="L162" s="10">
        <f>Table1[[#This Row],[Profit]]/Table1[[#This Row],[Sales]]</f>
        <v>0.2</v>
      </c>
    </row>
    <row r="163" spans="1:12">
      <c r="A163" t="s">
        <v>19</v>
      </c>
      <c r="B163" t="s">
        <v>26</v>
      </c>
      <c r="C163" t="s">
        <v>17</v>
      </c>
      <c r="D163" t="s">
        <v>14</v>
      </c>
      <c r="E163" s="7">
        <v>750</v>
      </c>
      <c r="F163" s="8">
        <v>2900</v>
      </c>
      <c r="G163" s="8">
        <f t="shared" si="8"/>
        <v>3625</v>
      </c>
      <c r="H163" s="8">
        <f t="shared" si="9"/>
        <v>2718750</v>
      </c>
      <c r="I163" s="8">
        <f t="shared" si="10"/>
        <v>2175000</v>
      </c>
      <c r="J163" s="8">
        <f t="shared" si="11"/>
        <v>543750</v>
      </c>
      <c r="K163" s="9">
        <v>45895</v>
      </c>
      <c r="L163" s="10">
        <f>Table1[[#This Row],[Profit]]/Table1[[#This Row],[Sales]]</f>
        <v>0.2</v>
      </c>
    </row>
    <row r="164" spans="1:12">
      <c r="A164" t="s">
        <v>19</v>
      </c>
      <c r="B164" t="s">
        <v>51</v>
      </c>
      <c r="C164" t="s">
        <v>17</v>
      </c>
      <c r="D164" t="s">
        <v>14</v>
      </c>
      <c r="E164" s="7">
        <v>2635</v>
      </c>
      <c r="F164" s="8">
        <v>9000</v>
      </c>
      <c r="G164" s="8">
        <f t="shared" si="8"/>
        <v>11250</v>
      </c>
      <c r="H164" s="8">
        <f t="shared" si="9"/>
        <v>29643750</v>
      </c>
      <c r="I164" s="8">
        <f t="shared" si="10"/>
        <v>23715000</v>
      </c>
      <c r="J164" s="8">
        <f t="shared" si="11"/>
        <v>5928750</v>
      </c>
      <c r="K164" s="9">
        <v>45897</v>
      </c>
      <c r="L164" s="10">
        <f>Table1[[#This Row],[Profit]]/Table1[[#This Row],[Sales]]</f>
        <v>0.2</v>
      </c>
    </row>
    <row r="165" spans="1:12">
      <c r="A165" t="s">
        <v>19</v>
      </c>
      <c r="B165" t="s">
        <v>97</v>
      </c>
      <c r="C165" t="s">
        <v>63</v>
      </c>
      <c r="D165" t="s">
        <v>14</v>
      </c>
      <c r="E165" s="7">
        <v>1904</v>
      </c>
      <c r="F165" s="8">
        <v>8700</v>
      </c>
      <c r="G165" s="8">
        <f t="shared" si="8"/>
        <v>10875</v>
      </c>
      <c r="H165" s="8">
        <f t="shared" si="9"/>
        <v>20706000</v>
      </c>
      <c r="I165" s="8">
        <f t="shared" si="10"/>
        <v>16564800</v>
      </c>
      <c r="J165" s="8">
        <f t="shared" si="11"/>
        <v>4141200</v>
      </c>
      <c r="K165" s="9">
        <v>45898</v>
      </c>
      <c r="L165" s="10">
        <f>Table1[[#This Row],[Profit]]/Table1[[#This Row],[Sales]]</f>
        <v>0.2</v>
      </c>
    </row>
    <row r="166" spans="1:12">
      <c r="A166" t="s">
        <v>19</v>
      </c>
      <c r="B166" t="s">
        <v>98</v>
      </c>
      <c r="C166" t="s">
        <v>31</v>
      </c>
      <c r="D166" t="s">
        <v>14</v>
      </c>
      <c r="E166" s="7">
        <v>1623</v>
      </c>
      <c r="F166" s="8">
        <v>14300</v>
      </c>
      <c r="G166" s="8">
        <f t="shared" si="8"/>
        <v>17875</v>
      </c>
      <c r="H166" s="8">
        <f t="shared" si="9"/>
        <v>29011125</v>
      </c>
      <c r="I166" s="8">
        <f t="shared" si="10"/>
        <v>23208900</v>
      </c>
      <c r="J166" s="8">
        <f t="shared" si="11"/>
        <v>5802225</v>
      </c>
      <c r="K166" s="9">
        <v>45899</v>
      </c>
      <c r="L166" s="10">
        <f>Table1[[#This Row],[Profit]]/Table1[[#This Row],[Sales]]</f>
        <v>0.2</v>
      </c>
    </row>
    <row r="167" spans="1:12">
      <c r="A167" t="s">
        <v>19</v>
      </c>
      <c r="B167" t="s">
        <v>26</v>
      </c>
      <c r="C167" t="s">
        <v>31</v>
      </c>
      <c r="D167" t="s">
        <v>14</v>
      </c>
      <c r="E167" s="7">
        <v>1603</v>
      </c>
      <c r="F167" s="8">
        <v>4000</v>
      </c>
      <c r="G167" s="8">
        <f t="shared" si="8"/>
        <v>5000</v>
      </c>
      <c r="H167" s="8">
        <f t="shared" si="9"/>
        <v>8015000</v>
      </c>
      <c r="I167" s="8">
        <f t="shared" si="10"/>
        <v>6412000</v>
      </c>
      <c r="J167" s="8">
        <f t="shared" si="11"/>
        <v>1603000</v>
      </c>
      <c r="K167" s="9">
        <v>45900</v>
      </c>
      <c r="L167" s="10">
        <f>Table1[[#This Row],[Profit]]/Table1[[#This Row],[Sales]]</f>
        <v>0.2</v>
      </c>
    </row>
    <row r="168" spans="1:12">
      <c r="A168" t="s">
        <v>19</v>
      </c>
      <c r="B168" t="s">
        <v>36</v>
      </c>
      <c r="C168" t="s">
        <v>17</v>
      </c>
      <c r="D168" t="s">
        <v>14</v>
      </c>
      <c r="E168" s="7">
        <v>526</v>
      </c>
      <c r="F168" s="8">
        <v>3200</v>
      </c>
      <c r="G168" s="8">
        <f t="shared" si="8"/>
        <v>4000</v>
      </c>
      <c r="H168" s="8">
        <f t="shared" si="9"/>
        <v>2104000</v>
      </c>
      <c r="I168" s="8">
        <f t="shared" si="10"/>
        <v>1683200</v>
      </c>
      <c r="J168" s="8">
        <f t="shared" si="11"/>
        <v>420800</v>
      </c>
      <c r="K168" s="9">
        <v>45900</v>
      </c>
      <c r="L168" s="10">
        <f>Table1[[#This Row],[Profit]]/Table1[[#This Row],[Sales]]</f>
        <v>0.2</v>
      </c>
    </row>
    <row r="169" spans="1:12">
      <c r="A169" t="s">
        <v>19</v>
      </c>
      <c r="B169" t="s">
        <v>62</v>
      </c>
      <c r="C169" t="s">
        <v>17</v>
      </c>
      <c r="D169" t="s">
        <v>14</v>
      </c>
      <c r="E169" s="7">
        <v>2328</v>
      </c>
      <c r="F169" s="8">
        <v>3900</v>
      </c>
      <c r="G169" s="8">
        <f t="shared" si="8"/>
        <v>4875</v>
      </c>
      <c r="H169" s="8">
        <f t="shared" si="9"/>
        <v>11349000</v>
      </c>
      <c r="I169" s="8">
        <f t="shared" si="10"/>
        <v>9079200</v>
      </c>
      <c r="J169" s="8">
        <f t="shared" si="11"/>
        <v>2269800</v>
      </c>
      <c r="K169" s="9">
        <v>45904</v>
      </c>
      <c r="L169" s="10">
        <f>Table1[[#This Row],[Profit]]/Table1[[#This Row],[Sales]]</f>
        <v>0.2</v>
      </c>
    </row>
    <row r="170" spans="1:12">
      <c r="A170" t="s">
        <v>19</v>
      </c>
      <c r="B170" t="s">
        <v>51</v>
      </c>
      <c r="C170" t="s">
        <v>27</v>
      </c>
      <c r="D170" t="s">
        <v>14</v>
      </c>
      <c r="E170" s="7">
        <v>1025</v>
      </c>
      <c r="F170" s="8">
        <v>20700</v>
      </c>
      <c r="G170" s="8">
        <f t="shared" si="8"/>
        <v>25875</v>
      </c>
      <c r="H170" s="8">
        <f t="shared" si="9"/>
        <v>26521875</v>
      </c>
      <c r="I170" s="8">
        <f t="shared" si="10"/>
        <v>21217500</v>
      </c>
      <c r="J170" s="8">
        <f t="shared" si="11"/>
        <v>5304375</v>
      </c>
      <c r="K170" s="9">
        <v>45906</v>
      </c>
      <c r="L170" s="10">
        <f>Table1[[#This Row],[Profit]]/Table1[[#This Row],[Sales]]</f>
        <v>0.2</v>
      </c>
    </row>
    <row r="171" spans="1:12">
      <c r="A171" t="s">
        <v>19</v>
      </c>
      <c r="B171" t="s">
        <v>98</v>
      </c>
      <c r="C171" t="s">
        <v>37</v>
      </c>
      <c r="D171" t="s">
        <v>14</v>
      </c>
      <c r="E171" s="7">
        <v>1157</v>
      </c>
      <c r="F171" s="8">
        <v>22400</v>
      </c>
      <c r="G171" s="8">
        <f t="shared" si="8"/>
        <v>28000</v>
      </c>
      <c r="H171" s="8">
        <f t="shared" si="9"/>
        <v>32396000</v>
      </c>
      <c r="I171" s="8">
        <f t="shared" si="10"/>
        <v>25916800</v>
      </c>
      <c r="J171" s="8">
        <f t="shared" si="11"/>
        <v>6479200</v>
      </c>
      <c r="K171" s="9">
        <v>45909</v>
      </c>
      <c r="L171" s="10">
        <f>Table1[[#This Row],[Profit]]/Table1[[#This Row],[Sales]]</f>
        <v>0.2</v>
      </c>
    </row>
    <row r="172" spans="1:12">
      <c r="A172" t="s">
        <v>19</v>
      </c>
      <c r="B172" t="s">
        <v>88</v>
      </c>
      <c r="C172" t="s">
        <v>79</v>
      </c>
      <c r="D172" t="s">
        <v>14</v>
      </c>
      <c r="E172" s="7">
        <v>1484</v>
      </c>
      <c r="F172" s="8">
        <v>1800</v>
      </c>
      <c r="G172" s="8">
        <f t="shared" si="8"/>
        <v>2250</v>
      </c>
      <c r="H172" s="8">
        <f t="shared" si="9"/>
        <v>3339000</v>
      </c>
      <c r="I172" s="8">
        <f t="shared" si="10"/>
        <v>2671200</v>
      </c>
      <c r="J172" s="8">
        <f t="shared" si="11"/>
        <v>667800</v>
      </c>
      <c r="K172" s="9">
        <v>45911</v>
      </c>
      <c r="L172" s="10">
        <f>Table1[[#This Row],[Profit]]/Table1[[#This Row],[Sales]]</f>
        <v>0.2</v>
      </c>
    </row>
    <row r="173" spans="1:12">
      <c r="A173" t="s">
        <v>19</v>
      </c>
      <c r="B173" t="s">
        <v>51</v>
      </c>
      <c r="C173" t="s">
        <v>68</v>
      </c>
      <c r="D173" t="s">
        <v>14</v>
      </c>
      <c r="E173" s="7">
        <v>2122</v>
      </c>
      <c r="F173" s="8">
        <v>13000</v>
      </c>
      <c r="G173" s="8">
        <f t="shared" si="8"/>
        <v>16250</v>
      </c>
      <c r="H173" s="8">
        <f t="shared" si="9"/>
        <v>34482500</v>
      </c>
      <c r="I173" s="8">
        <f t="shared" si="10"/>
        <v>27586000</v>
      </c>
      <c r="J173" s="8">
        <f t="shared" si="11"/>
        <v>6896500</v>
      </c>
      <c r="K173" s="9">
        <v>45913</v>
      </c>
      <c r="L173" s="10">
        <f>Table1[[#This Row],[Profit]]/Table1[[#This Row],[Sales]]</f>
        <v>0.2</v>
      </c>
    </row>
    <row r="174" spans="1:12">
      <c r="A174" t="s">
        <v>19</v>
      </c>
      <c r="B174" t="s">
        <v>26</v>
      </c>
      <c r="C174" t="s">
        <v>13</v>
      </c>
      <c r="D174" t="s">
        <v>14</v>
      </c>
      <c r="E174" s="7">
        <v>1307</v>
      </c>
      <c r="F174" s="8">
        <v>16400</v>
      </c>
      <c r="G174" s="8">
        <f t="shared" si="8"/>
        <v>20500</v>
      </c>
      <c r="H174" s="8">
        <f t="shared" si="9"/>
        <v>26793500</v>
      </c>
      <c r="I174" s="8">
        <f t="shared" si="10"/>
        <v>21434800</v>
      </c>
      <c r="J174" s="8">
        <f t="shared" si="11"/>
        <v>5358700</v>
      </c>
      <c r="K174" s="9">
        <v>45913</v>
      </c>
      <c r="L174" s="10">
        <f>Table1[[#This Row],[Profit]]/Table1[[#This Row],[Sales]]</f>
        <v>0.2</v>
      </c>
    </row>
    <row r="175" spans="1:12">
      <c r="A175" t="s">
        <v>19</v>
      </c>
      <c r="B175" t="s">
        <v>88</v>
      </c>
      <c r="C175" t="s">
        <v>68</v>
      </c>
      <c r="D175" t="s">
        <v>14</v>
      </c>
      <c r="E175" s="7">
        <v>1594</v>
      </c>
      <c r="F175" s="8">
        <v>16600</v>
      </c>
      <c r="G175" s="8">
        <f t="shared" si="8"/>
        <v>20750</v>
      </c>
      <c r="H175" s="8">
        <f t="shared" si="9"/>
        <v>33075500</v>
      </c>
      <c r="I175" s="8">
        <f t="shared" si="10"/>
        <v>26460400</v>
      </c>
      <c r="J175" s="8">
        <f t="shared" si="11"/>
        <v>6615100</v>
      </c>
      <c r="K175" s="9">
        <v>45914</v>
      </c>
      <c r="L175" s="10">
        <f>Table1[[#This Row],[Profit]]/Table1[[#This Row],[Sales]]</f>
        <v>0.2</v>
      </c>
    </row>
    <row r="176" spans="1:12">
      <c r="A176" t="s">
        <v>19</v>
      </c>
      <c r="B176" t="s">
        <v>39</v>
      </c>
      <c r="C176" t="s">
        <v>27</v>
      </c>
      <c r="D176" t="s">
        <v>14</v>
      </c>
      <c r="E176" s="7">
        <v>648</v>
      </c>
      <c r="F176" s="8">
        <v>18200</v>
      </c>
      <c r="G176" s="8">
        <f t="shared" si="8"/>
        <v>22750</v>
      </c>
      <c r="H176" s="8">
        <f t="shared" si="9"/>
        <v>14742000</v>
      </c>
      <c r="I176" s="8">
        <f t="shared" si="10"/>
        <v>11793600</v>
      </c>
      <c r="J176" s="8">
        <f t="shared" si="11"/>
        <v>2948400</v>
      </c>
      <c r="K176" s="9">
        <v>45915</v>
      </c>
      <c r="L176" s="10">
        <f>Table1[[#This Row],[Profit]]/Table1[[#This Row],[Sales]]</f>
        <v>0.2</v>
      </c>
    </row>
    <row r="177" spans="1:12">
      <c r="A177" t="s">
        <v>19</v>
      </c>
      <c r="B177" t="s">
        <v>77</v>
      </c>
      <c r="C177" t="s">
        <v>31</v>
      </c>
      <c r="D177" t="s">
        <v>14</v>
      </c>
      <c r="E177" s="7">
        <v>524</v>
      </c>
      <c r="F177" s="8">
        <v>17400</v>
      </c>
      <c r="G177" s="8">
        <f t="shared" si="8"/>
        <v>21750</v>
      </c>
      <c r="H177" s="8">
        <f t="shared" si="9"/>
        <v>11397000</v>
      </c>
      <c r="I177" s="8">
        <f t="shared" si="10"/>
        <v>9117600</v>
      </c>
      <c r="J177" s="8">
        <f t="shared" si="11"/>
        <v>2279400</v>
      </c>
      <c r="K177" s="9">
        <v>45916</v>
      </c>
      <c r="L177" s="10">
        <f>Table1[[#This Row],[Profit]]/Table1[[#This Row],[Sales]]</f>
        <v>0.2</v>
      </c>
    </row>
    <row r="178" spans="1:12">
      <c r="A178" t="s">
        <v>19</v>
      </c>
      <c r="B178" t="s">
        <v>36</v>
      </c>
      <c r="C178" t="s">
        <v>13</v>
      </c>
      <c r="D178" t="s">
        <v>14</v>
      </c>
      <c r="E178" s="7">
        <v>2354</v>
      </c>
      <c r="F178" s="8">
        <v>10200</v>
      </c>
      <c r="G178" s="8">
        <f t="shared" si="8"/>
        <v>12750</v>
      </c>
      <c r="H178" s="8">
        <f t="shared" si="9"/>
        <v>30013500</v>
      </c>
      <c r="I178" s="8">
        <f t="shared" si="10"/>
        <v>24010800</v>
      </c>
      <c r="J178" s="8">
        <f t="shared" si="11"/>
        <v>6002700</v>
      </c>
      <c r="K178" s="9">
        <v>45916</v>
      </c>
      <c r="L178" s="10">
        <f>Table1[[#This Row],[Profit]]/Table1[[#This Row],[Sales]]</f>
        <v>0.2</v>
      </c>
    </row>
    <row r="179" spans="1:12">
      <c r="A179" t="s">
        <v>19</v>
      </c>
      <c r="B179" t="s">
        <v>88</v>
      </c>
      <c r="C179" t="s">
        <v>13</v>
      </c>
      <c r="D179" t="s">
        <v>14</v>
      </c>
      <c r="E179" s="7">
        <v>1864</v>
      </c>
      <c r="F179" s="8">
        <v>3300</v>
      </c>
      <c r="G179" s="8">
        <f t="shared" si="8"/>
        <v>4125</v>
      </c>
      <c r="H179" s="8">
        <f t="shared" si="9"/>
        <v>7689000</v>
      </c>
      <c r="I179" s="8">
        <f t="shared" si="10"/>
        <v>6151200</v>
      </c>
      <c r="J179" s="8">
        <f t="shared" si="11"/>
        <v>1537800</v>
      </c>
      <c r="K179" s="9">
        <v>45917</v>
      </c>
      <c r="L179" s="10">
        <f>Table1[[#This Row],[Profit]]/Table1[[#This Row],[Sales]]</f>
        <v>0.2</v>
      </c>
    </row>
    <row r="180" spans="1:12">
      <c r="A180" t="s">
        <v>19</v>
      </c>
      <c r="B180" t="s">
        <v>98</v>
      </c>
      <c r="C180" t="s">
        <v>21</v>
      </c>
      <c r="D180" t="s">
        <v>14</v>
      </c>
      <c r="E180" s="7">
        <v>765</v>
      </c>
      <c r="F180" s="8">
        <v>9400</v>
      </c>
      <c r="G180" s="8">
        <f t="shared" si="8"/>
        <v>11750</v>
      </c>
      <c r="H180" s="8">
        <f t="shared" si="9"/>
        <v>8988750</v>
      </c>
      <c r="I180" s="8">
        <f t="shared" si="10"/>
        <v>7191000</v>
      </c>
      <c r="J180" s="8">
        <f t="shared" si="11"/>
        <v>1797750</v>
      </c>
      <c r="K180" s="9">
        <v>45917</v>
      </c>
      <c r="L180" s="10">
        <f>Table1[[#This Row],[Profit]]/Table1[[#This Row],[Sales]]</f>
        <v>0.2</v>
      </c>
    </row>
    <row r="181" spans="1:12">
      <c r="A181" t="s">
        <v>19</v>
      </c>
      <c r="B181" t="s">
        <v>98</v>
      </c>
      <c r="C181" t="s">
        <v>17</v>
      </c>
      <c r="D181" t="s">
        <v>14</v>
      </c>
      <c r="E181" s="7">
        <v>1724</v>
      </c>
      <c r="F181" s="8">
        <v>20200</v>
      </c>
      <c r="G181" s="8">
        <f t="shared" si="8"/>
        <v>25250</v>
      </c>
      <c r="H181" s="8">
        <f t="shared" si="9"/>
        <v>43531000</v>
      </c>
      <c r="I181" s="8">
        <f t="shared" si="10"/>
        <v>34824800</v>
      </c>
      <c r="J181" s="8">
        <f t="shared" si="11"/>
        <v>8706200</v>
      </c>
      <c r="K181" s="9">
        <v>45921</v>
      </c>
      <c r="L181" s="10">
        <f>Table1[[#This Row],[Profit]]/Table1[[#This Row],[Sales]]</f>
        <v>0.2</v>
      </c>
    </row>
    <row r="182" spans="1:12">
      <c r="A182" t="s">
        <v>19</v>
      </c>
      <c r="B182" t="s">
        <v>20</v>
      </c>
      <c r="C182" t="s">
        <v>27</v>
      </c>
      <c r="D182" t="s">
        <v>14</v>
      </c>
      <c r="E182" s="7">
        <v>475</v>
      </c>
      <c r="F182" s="8">
        <v>17900</v>
      </c>
      <c r="G182" s="8">
        <f t="shared" si="8"/>
        <v>22375</v>
      </c>
      <c r="H182" s="8">
        <f t="shared" si="9"/>
        <v>10628125</v>
      </c>
      <c r="I182" s="8">
        <f t="shared" si="10"/>
        <v>8502500</v>
      </c>
      <c r="J182" s="8">
        <f t="shared" si="11"/>
        <v>2125625</v>
      </c>
      <c r="K182" s="9">
        <v>45925</v>
      </c>
      <c r="L182" s="10">
        <f>Table1[[#This Row],[Profit]]/Table1[[#This Row],[Sales]]</f>
        <v>0.2</v>
      </c>
    </row>
    <row r="183" spans="1:12">
      <c r="A183" t="s">
        <v>19</v>
      </c>
      <c r="B183" t="s">
        <v>98</v>
      </c>
      <c r="C183" t="s">
        <v>13</v>
      </c>
      <c r="D183" t="s">
        <v>14</v>
      </c>
      <c r="E183" s="7">
        <v>371</v>
      </c>
      <c r="F183" s="8">
        <v>18000</v>
      </c>
      <c r="G183" s="8">
        <f t="shared" si="8"/>
        <v>22500</v>
      </c>
      <c r="H183" s="8">
        <f t="shared" si="9"/>
        <v>8347500</v>
      </c>
      <c r="I183" s="8">
        <f t="shared" si="10"/>
        <v>6678000</v>
      </c>
      <c r="J183" s="8">
        <f t="shared" si="11"/>
        <v>1669500</v>
      </c>
      <c r="K183" s="9">
        <v>45928</v>
      </c>
      <c r="L183" s="10">
        <f>Table1[[#This Row],[Profit]]/Table1[[#This Row],[Sales]]</f>
        <v>0.2</v>
      </c>
    </row>
    <row r="184" spans="1:12">
      <c r="A184" t="s">
        <v>19</v>
      </c>
      <c r="B184" t="s">
        <v>77</v>
      </c>
      <c r="C184" t="s">
        <v>68</v>
      </c>
      <c r="D184" t="s">
        <v>14</v>
      </c>
      <c r="E184" s="7">
        <v>914</v>
      </c>
      <c r="F184" s="8">
        <v>23700</v>
      </c>
      <c r="G184" s="8">
        <f t="shared" si="8"/>
        <v>29625</v>
      </c>
      <c r="H184" s="8">
        <f t="shared" si="9"/>
        <v>27077250</v>
      </c>
      <c r="I184" s="8">
        <f t="shared" si="10"/>
        <v>21661800</v>
      </c>
      <c r="J184" s="8">
        <f t="shared" si="11"/>
        <v>5415450</v>
      </c>
      <c r="K184" s="9">
        <v>45932</v>
      </c>
      <c r="L184" s="10">
        <f>Table1[[#This Row],[Profit]]/Table1[[#This Row],[Sales]]</f>
        <v>0.2</v>
      </c>
    </row>
    <row r="185" spans="1:12">
      <c r="A185" t="s">
        <v>19</v>
      </c>
      <c r="B185" t="s">
        <v>88</v>
      </c>
      <c r="C185" t="s">
        <v>21</v>
      </c>
      <c r="D185" t="s">
        <v>14</v>
      </c>
      <c r="E185" s="7">
        <v>1346</v>
      </c>
      <c r="F185" s="8">
        <v>2300</v>
      </c>
      <c r="G185" s="8">
        <f t="shared" si="8"/>
        <v>2875</v>
      </c>
      <c r="H185" s="8">
        <f t="shared" si="9"/>
        <v>3869750</v>
      </c>
      <c r="I185" s="8">
        <f t="shared" si="10"/>
        <v>3095800</v>
      </c>
      <c r="J185" s="8">
        <f t="shared" si="11"/>
        <v>773950</v>
      </c>
      <c r="K185" s="9">
        <v>45935</v>
      </c>
      <c r="L185" s="10">
        <f>Table1[[#This Row],[Profit]]/Table1[[#This Row],[Sales]]</f>
        <v>0.2</v>
      </c>
    </row>
    <row r="186" spans="1:12">
      <c r="A186" t="s">
        <v>19</v>
      </c>
      <c r="B186" t="s">
        <v>51</v>
      </c>
      <c r="C186" t="s">
        <v>13</v>
      </c>
      <c r="D186" t="s">
        <v>14</v>
      </c>
      <c r="E186" s="7">
        <v>2140</v>
      </c>
      <c r="F186" s="8">
        <v>21800</v>
      </c>
      <c r="G186" s="8">
        <f t="shared" si="8"/>
        <v>27250</v>
      </c>
      <c r="H186" s="8">
        <f t="shared" si="9"/>
        <v>58315000</v>
      </c>
      <c r="I186" s="8">
        <f t="shared" si="10"/>
        <v>46652000</v>
      </c>
      <c r="J186" s="8">
        <f t="shared" si="11"/>
        <v>11663000</v>
      </c>
      <c r="K186" s="9">
        <v>45935</v>
      </c>
      <c r="L186" s="10">
        <f>Table1[[#This Row],[Profit]]/Table1[[#This Row],[Sales]]</f>
        <v>0.2</v>
      </c>
    </row>
    <row r="187" spans="1:12">
      <c r="A187" t="s">
        <v>19</v>
      </c>
      <c r="B187" t="s">
        <v>39</v>
      </c>
      <c r="C187" t="s">
        <v>63</v>
      </c>
      <c r="D187" t="s">
        <v>14</v>
      </c>
      <c r="E187" s="7">
        <v>495</v>
      </c>
      <c r="F187" s="8">
        <v>19400</v>
      </c>
      <c r="G187" s="8">
        <f t="shared" si="8"/>
        <v>24250</v>
      </c>
      <c r="H187" s="8">
        <f t="shared" si="9"/>
        <v>12003750</v>
      </c>
      <c r="I187" s="8">
        <f t="shared" si="10"/>
        <v>9603000</v>
      </c>
      <c r="J187" s="8">
        <f t="shared" si="11"/>
        <v>2400750</v>
      </c>
      <c r="K187" s="9">
        <v>45936</v>
      </c>
      <c r="L187" s="10">
        <f>Table1[[#This Row],[Profit]]/Table1[[#This Row],[Sales]]</f>
        <v>0.2</v>
      </c>
    </row>
    <row r="188" spans="1:12">
      <c r="A188" t="s">
        <v>19</v>
      </c>
      <c r="B188" t="s">
        <v>77</v>
      </c>
      <c r="C188" t="s">
        <v>63</v>
      </c>
      <c r="D188" t="s">
        <v>14</v>
      </c>
      <c r="E188" s="7">
        <v>1234</v>
      </c>
      <c r="F188" s="8">
        <v>8700</v>
      </c>
      <c r="G188" s="8">
        <f t="shared" si="8"/>
        <v>10875</v>
      </c>
      <c r="H188" s="8">
        <f t="shared" si="9"/>
        <v>13419750</v>
      </c>
      <c r="I188" s="8">
        <f t="shared" si="10"/>
        <v>10735800</v>
      </c>
      <c r="J188" s="8">
        <f t="shared" si="11"/>
        <v>2683950</v>
      </c>
      <c r="K188" s="9">
        <v>45937</v>
      </c>
      <c r="L188" s="10">
        <f>Table1[[#This Row],[Profit]]/Table1[[#This Row],[Sales]]</f>
        <v>0.2</v>
      </c>
    </row>
    <row r="189" spans="1:12">
      <c r="A189" t="s">
        <v>19</v>
      </c>
      <c r="B189" t="s">
        <v>51</v>
      </c>
      <c r="C189" t="s">
        <v>31</v>
      </c>
      <c r="D189" t="s">
        <v>14</v>
      </c>
      <c r="E189" s="7">
        <v>340</v>
      </c>
      <c r="F189" s="8">
        <v>17800</v>
      </c>
      <c r="G189" s="8">
        <f t="shared" si="8"/>
        <v>22250</v>
      </c>
      <c r="H189" s="8">
        <f t="shared" si="9"/>
        <v>7565000</v>
      </c>
      <c r="I189" s="8">
        <f t="shared" si="10"/>
        <v>6052000</v>
      </c>
      <c r="J189" s="8">
        <f t="shared" si="11"/>
        <v>1513000</v>
      </c>
      <c r="K189" s="9">
        <v>45937</v>
      </c>
      <c r="L189" s="10">
        <f>Table1[[#This Row],[Profit]]/Table1[[#This Row],[Sales]]</f>
        <v>0.2</v>
      </c>
    </row>
    <row r="190" spans="1:12">
      <c r="A190" t="s">
        <v>19</v>
      </c>
      <c r="B190" t="s">
        <v>26</v>
      </c>
      <c r="C190" t="s">
        <v>79</v>
      </c>
      <c r="D190" t="s">
        <v>14</v>
      </c>
      <c r="E190" s="7">
        <v>811</v>
      </c>
      <c r="F190" s="8">
        <v>18200</v>
      </c>
      <c r="G190" s="8">
        <f t="shared" si="8"/>
        <v>22750</v>
      </c>
      <c r="H190" s="8">
        <f t="shared" si="9"/>
        <v>18450250</v>
      </c>
      <c r="I190" s="8">
        <f t="shared" si="10"/>
        <v>14760200</v>
      </c>
      <c r="J190" s="8">
        <f t="shared" si="11"/>
        <v>3690050</v>
      </c>
      <c r="K190" s="9">
        <v>45940</v>
      </c>
      <c r="L190" s="10">
        <f>Table1[[#This Row],[Profit]]/Table1[[#This Row],[Sales]]</f>
        <v>0.2</v>
      </c>
    </row>
    <row r="191" spans="1:12">
      <c r="A191" t="s">
        <v>19</v>
      </c>
      <c r="B191" t="s">
        <v>62</v>
      </c>
      <c r="C191" t="s">
        <v>63</v>
      </c>
      <c r="D191" t="s">
        <v>14</v>
      </c>
      <c r="E191" s="7">
        <v>1390</v>
      </c>
      <c r="F191" s="8">
        <v>9100</v>
      </c>
      <c r="G191" s="8">
        <f t="shared" si="8"/>
        <v>11375</v>
      </c>
      <c r="H191" s="8">
        <f t="shared" si="9"/>
        <v>15811250</v>
      </c>
      <c r="I191" s="8">
        <f t="shared" si="10"/>
        <v>12649000</v>
      </c>
      <c r="J191" s="8">
        <f t="shared" si="11"/>
        <v>3162250</v>
      </c>
      <c r="K191" s="9">
        <v>45941</v>
      </c>
      <c r="L191" s="10">
        <f>Table1[[#This Row],[Profit]]/Table1[[#This Row],[Sales]]</f>
        <v>0.2</v>
      </c>
    </row>
    <row r="192" spans="1:12">
      <c r="A192" t="s">
        <v>19</v>
      </c>
      <c r="B192" t="s">
        <v>62</v>
      </c>
      <c r="C192" t="s">
        <v>34</v>
      </c>
      <c r="D192" t="s">
        <v>14</v>
      </c>
      <c r="E192" s="7">
        <v>2618</v>
      </c>
      <c r="F192" s="8">
        <v>4000</v>
      </c>
      <c r="G192" s="8">
        <f t="shared" si="8"/>
        <v>5000</v>
      </c>
      <c r="H192" s="8">
        <f t="shared" si="9"/>
        <v>13090000</v>
      </c>
      <c r="I192" s="8">
        <f t="shared" si="10"/>
        <v>10472000</v>
      </c>
      <c r="J192" s="8">
        <f t="shared" si="11"/>
        <v>2618000</v>
      </c>
      <c r="K192" s="9">
        <v>45941</v>
      </c>
      <c r="L192" s="10">
        <f>Table1[[#This Row],[Profit]]/Table1[[#This Row],[Sales]]</f>
        <v>0.2</v>
      </c>
    </row>
    <row r="193" spans="1:12">
      <c r="A193" t="s">
        <v>19</v>
      </c>
      <c r="B193" t="s">
        <v>51</v>
      </c>
      <c r="C193" t="s">
        <v>63</v>
      </c>
      <c r="D193" t="s">
        <v>14</v>
      </c>
      <c r="E193" s="7">
        <v>782</v>
      </c>
      <c r="F193" s="8">
        <v>6400</v>
      </c>
      <c r="G193" s="8">
        <f t="shared" si="8"/>
        <v>8000</v>
      </c>
      <c r="H193" s="8">
        <f t="shared" si="9"/>
        <v>6256000</v>
      </c>
      <c r="I193" s="8">
        <f t="shared" si="10"/>
        <v>5004800</v>
      </c>
      <c r="J193" s="8">
        <f t="shared" si="11"/>
        <v>1251200</v>
      </c>
      <c r="K193" s="9">
        <v>45942</v>
      </c>
      <c r="L193" s="10">
        <f>Table1[[#This Row],[Profit]]/Table1[[#This Row],[Sales]]</f>
        <v>0.2</v>
      </c>
    </row>
    <row r="194" spans="1:12">
      <c r="A194" t="s">
        <v>19</v>
      </c>
      <c r="B194" t="s">
        <v>20</v>
      </c>
      <c r="C194" t="s">
        <v>68</v>
      </c>
      <c r="D194" t="s">
        <v>14</v>
      </c>
      <c r="E194" s="7">
        <v>2590</v>
      </c>
      <c r="F194" s="8">
        <v>3400</v>
      </c>
      <c r="G194" s="8">
        <f t="shared" ref="G194:G257" si="12">ROUNDDOWN(F194/100,0)*100*1.25</f>
        <v>4250</v>
      </c>
      <c r="H194" s="8">
        <f t="shared" ref="H194:H257" si="13">E194*G194</f>
        <v>11007500</v>
      </c>
      <c r="I194" s="8">
        <f t="shared" ref="I194:I257" si="14">E194*F194</f>
        <v>8806000</v>
      </c>
      <c r="J194" s="8">
        <f t="shared" ref="J194:J257" si="15">H194-I194</f>
        <v>2201500</v>
      </c>
      <c r="K194" s="9">
        <v>45944</v>
      </c>
      <c r="L194" s="10">
        <f>Table1[[#This Row],[Profit]]/Table1[[#This Row],[Sales]]</f>
        <v>0.2</v>
      </c>
    </row>
    <row r="195" spans="1:12">
      <c r="A195" t="s">
        <v>19</v>
      </c>
      <c r="B195" t="s">
        <v>39</v>
      </c>
      <c r="C195" t="s">
        <v>27</v>
      </c>
      <c r="D195" t="s">
        <v>14</v>
      </c>
      <c r="E195" s="7">
        <v>2774</v>
      </c>
      <c r="F195" s="8">
        <v>10000</v>
      </c>
      <c r="G195" s="8">
        <f t="shared" si="12"/>
        <v>12500</v>
      </c>
      <c r="H195" s="8">
        <f t="shared" si="13"/>
        <v>34675000</v>
      </c>
      <c r="I195" s="8">
        <f t="shared" si="14"/>
        <v>27740000</v>
      </c>
      <c r="J195" s="8">
        <f t="shared" si="15"/>
        <v>6935000</v>
      </c>
      <c r="K195" s="9">
        <v>45949</v>
      </c>
      <c r="L195" s="10">
        <f>Table1[[#This Row],[Profit]]/Table1[[#This Row],[Sales]]</f>
        <v>0.2</v>
      </c>
    </row>
    <row r="196" spans="1:12">
      <c r="A196" t="s">
        <v>19</v>
      </c>
      <c r="B196" t="s">
        <v>97</v>
      </c>
      <c r="C196" t="s">
        <v>17</v>
      </c>
      <c r="D196" t="s">
        <v>14</v>
      </c>
      <c r="E196" s="7">
        <v>1235</v>
      </c>
      <c r="F196" s="8">
        <v>3300</v>
      </c>
      <c r="G196" s="8">
        <f t="shared" si="12"/>
        <v>4125</v>
      </c>
      <c r="H196" s="8">
        <f t="shared" si="13"/>
        <v>5094375</v>
      </c>
      <c r="I196" s="8">
        <f t="shared" si="14"/>
        <v>4075500</v>
      </c>
      <c r="J196" s="8">
        <f t="shared" si="15"/>
        <v>1018875</v>
      </c>
      <c r="K196" s="9">
        <v>45950</v>
      </c>
      <c r="L196" s="10">
        <f>Table1[[#This Row],[Profit]]/Table1[[#This Row],[Sales]]</f>
        <v>0.2</v>
      </c>
    </row>
    <row r="197" spans="1:12">
      <c r="A197" t="s">
        <v>19</v>
      </c>
      <c r="B197" t="s">
        <v>98</v>
      </c>
      <c r="C197" t="s">
        <v>13</v>
      </c>
      <c r="D197" t="s">
        <v>14</v>
      </c>
      <c r="E197" s="7">
        <v>1796</v>
      </c>
      <c r="F197" s="8">
        <v>14800</v>
      </c>
      <c r="G197" s="8">
        <f t="shared" si="12"/>
        <v>18500</v>
      </c>
      <c r="H197" s="8">
        <f t="shared" si="13"/>
        <v>33226000</v>
      </c>
      <c r="I197" s="8">
        <f t="shared" si="14"/>
        <v>26580800</v>
      </c>
      <c r="J197" s="8">
        <f t="shared" si="15"/>
        <v>6645200</v>
      </c>
      <c r="K197" s="9">
        <v>45954</v>
      </c>
      <c r="L197" s="10">
        <f>Table1[[#This Row],[Profit]]/Table1[[#This Row],[Sales]]</f>
        <v>0.2</v>
      </c>
    </row>
    <row r="198" spans="1:12">
      <c r="A198" t="s">
        <v>19</v>
      </c>
      <c r="B198" t="s">
        <v>26</v>
      </c>
      <c r="C198" t="s">
        <v>27</v>
      </c>
      <c r="D198" t="s">
        <v>14</v>
      </c>
      <c r="E198" s="7">
        <v>184</v>
      </c>
      <c r="F198" s="8">
        <v>4900</v>
      </c>
      <c r="G198" s="8">
        <f t="shared" si="12"/>
        <v>6125</v>
      </c>
      <c r="H198" s="8">
        <f t="shared" si="13"/>
        <v>1127000</v>
      </c>
      <c r="I198" s="8">
        <f t="shared" si="14"/>
        <v>901600</v>
      </c>
      <c r="J198" s="8">
        <f t="shared" si="15"/>
        <v>225400</v>
      </c>
      <c r="K198" s="9">
        <v>45957</v>
      </c>
      <c r="L198" s="10">
        <f>Table1[[#This Row],[Profit]]/Table1[[#This Row],[Sales]]</f>
        <v>0.2</v>
      </c>
    </row>
    <row r="199" spans="1:12">
      <c r="A199" t="s">
        <v>19</v>
      </c>
      <c r="B199" t="s">
        <v>39</v>
      </c>
      <c r="C199" t="s">
        <v>21</v>
      </c>
      <c r="D199" t="s">
        <v>14</v>
      </c>
      <c r="E199" s="7">
        <v>271</v>
      </c>
      <c r="F199" s="8">
        <v>2600</v>
      </c>
      <c r="G199" s="8">
        <f t="shared" si="12"/>
        <v>3250</v>
      </c>
      <c r="H199" s="8">
        <f t="shared" si="13"/>
        <v>880750</v>
      </c>
      <c r="I199" s="8">
        <f t="shared" si="14"/>
        <v>704600</v>
      </c>
      <c r="J199" s="8">
        <f t="shared" si="15"/>
        <v>176150</v>
      </c>
      <c r="K199" s="9">
        <v>45957</v>
      </c>
      <c r="L199" s="10">
        <f>Table1[[#This Row],[Profit]]/Table1[[#This Row],[Sales]]</f>
        <v>0.2</v>
      </c>
    </row>
    <row r="200" spans="1:12">
      <c r="A200" t="s">
        <v>19</v>
      </c>
      <c r="B200" t="s">
        <v>26</v>
      </c>
      <c r="C200" t="s">
        <v>68</v>
      </c>
      <c r="D200" t="s">
        <v>14</v>
      </c>
      <c r="E200" s="7">
        <v>1923</v>
      </c>
      <c r="F200" s="8">
        <v>10700</v>
      </c>
      <c r="G200" s="8">
        <f t="shared" si="12"/>
        <v>13375</v>
      </c>
      <c r="H200" s="8">
        <f t="shared" si="13"/>
        <v>25720125</v>
      </c>
      <c r="I200" s="8">
        <f t="shared" si="14"/>
        <v>20576100</v>
      </c>
      <c r="J200" s="8">
        <f t="shared" si="15"/>
        <v>5144025</v>
      </c>
      <c r="K200" s="9">
        <v>45957</v>
      </c>
      <c r="L200" s="10">
        <f>Table1[[#This Row],[Profit]]/Table1[[#This Row],[Sales]]</f>
        <v>0.2</v>
      </c>
    </row>
    <row r="201" spans="1:12">
      <c r="A201" t="s">
        <v>19</v>
      </c>
      <c r="B201" t="s">
        <v>39</v>
      </c>
      <c r="C201" t="s">
        <v>34</v>
      </c>
      <c r="D201" t="s">
        <v>14</v>
      </c>
      <c r="E201" s="7">
        <v>1752</v>
      </c>
      <c r="F201" s="8">
        <v>22600</v>
      </c>
      <c r="G201" s="8">
        <f t="shared" si="12"/>
        <v>28250</v>
      </c>
      <c r="H201" s="8">
        <f t="shared" si="13"/>
        <v>49494000</v>
      </c>
      <c r="I201" s="8">
        <f t="shared" si="14"/>
        <v>39595200</v>
      </c>
      <c r="J201" s="8">
        <f t="shared" si="15"/>
        <v>9898800</v>
      </c>
      <c r="K201" s="9">
        <v>45960</v>
      </c>
      <c r="L201" s="10">
        <f>Table1[[#This Row],[Profit]]/Table1[[#This Row],[Sales]]</f>
        <v>0.2</v>
      </c>
    </row>
    <row r="202" spans="1:12">
      <c r="A202" t="s">
        <v>19</v>
      </c>
      <c r="B202" t="s">
        <v>20</v>
      </c>
      <c r="C202" t="s">
        <v>79</v>
      </c>
      <c r="D202" t="s">
        <v>14</v>
      </c>
      <c r="E202" s="7">
        <v>2000</v>
      </c>
      <c r="F202" s="8">
        <v>22300</v>
      </c>
      <c r="G202" s="8">
        <f t="shared" si="12"/>
        <v>27875</v>
      </c>
      <c r="H202" s="8">
        <f t="shared" si="13"/>
        <v>55750000</v>
      </c>
      <c r="I202" s="8">
        <f t="shared" si="14"/>
        <v>44600000</v>
      </c>
      <c r="J202" s="8">
        <f t="shared" si="15"/>
        <v>11150000</v>
      </c>
      <c r="K202" s="9">
        <v>45961</v>
      </c>
      <c r="L202" s="10">
        <f>Table1[[#This Row],[Profit]]/Table1[[#This Row],[Sales]]</f>
        <v>0.2</v>
      </c>
    </row>
    <row r="203" spans="1:12">
      <c r="A203" t="s">
        <v>19</v>
      </c>
      <c r="B203" t="s">
        <v>26</v>
      </c>
      <c r="C203" t="s">
        <v>63</v>
      </c>
      <c r="D203" t="s">
        <v>14</v>
      </c>
      <c r="E203" s="7">
        <v>205</v>
      </c>
      <c r="F203" s="8">
        <v>15500</v>
      </c>
      <c r="G203" s="8">
        <f t="shared" si="12"/>
        <v>19375</v>
      </c>
      <c r="H203" s="8">
        <f t="shared" si="13"/>
        <v>3971875</v>
      </c>
      <c r="I203" s="8">
        <f t="shared" si="14"/>
        <v>3177500</v>
      </c>
      <c r="J203" s="8">
        <f t="shared" si="15"/>
        <v>794375</v>
      </c>
      <c r="K203" s="9">
        <v>45962</v>
      </c>
      <c r="L203" s="10">
        <f>Table1[[#This Row],[Profit]]/Table1[[#This Row],[Sales]]</f>
        <v>0.2</v>
      </c>
    </row>
    <row r="204" spans="1:12">
      <c r="A204" t="s">
        <v>19</v>
      </c>
      <c r="B204" t="s">
        <v>36</v>
      </c>
      <c r="C204" t="s">
        <v>34</v>
      </c>
      <c r="D204" t="s">
        <v>14</v>
      </c>
      <c r="E204" s="7">
        <v>1346</v>
      </c>
      <c r="F204" s="8">
        <v>20200</v>
      </c>
      <c r="G204" s="8">
        <f t="shared" si="12"/>
        <v>25250</v>
      </c>
      <c r="H204" s="8">
        <f t="shared" si="13"/>
        <v>33986500</v>
      </c>
      <c r="I204" s="8">
        <f t="shared" si="14"/>
        <v>27189200</v>
      </c>
      <c r="J204" s="8">
        <f t="shared" si="15"/>
        <v>6797300</v>
      </c>
      <c r="K204" s="9">
        <v>45962</v>
      </c>
      <c r="L204" s="10">
        <f>Table1[[#This Row],[Profit]]/Table1[[#This Row],[Sales]]</f>
        <v>0.2</v>
      </c>
    </row>
    <row r="205" spans="1:12">
      <c r="A205" t="s">
        <v>19</v>
      </c>
      <c r="B205" t="s">
        <v>26</v>
      </c>
      <c r="C205" t="s">
        <v>31</v>
      </c>
      <c r="D205" t="s">
        <v>14</v>
      </c>
      <c r="E205" s="7">
        <v>1548</v>
      </c>
      <c r="F205" s="8">
        <v>2400</v>
      </c>
      <c r="G205" s="8">
        <f t="shared" si="12"/>
        <v>3000</v>
      </c>
      <c r="H205" s="8">
        <f t="shared" si="13"/>
        <v>4644000</v>
      </c>
      <c r="I205" s="8">
        <f t="shared" si="14"/>
        <v>3715200</v>
      </c>
      <c r="J205" s="8">
        <f t="shared" si="15"/>
        <v>928800</v>
      </c>
      <c r="K205" s="9">
        <v>45971</v>
      </c>
      <c r="L205" s="10">
        <f>Table1[[#This Row],[Profit]]/Table1[[#This Row],[Sales]]</f>
        <v>0.2</v>
      </c>
    </row>
    <row r="206" spans="1:12">
      <c r="A206" t="s">
        <v>19</v>
      </c>
      <c r="B206" t="s">
        <v>88</v>
      </c>
      <c r="C206" t="s">
        <v>37</v>
      </c>
      <c r="D206" t="s">
        <v>14</v>
      </c>
      <c r="E206" s="7">
        <v>911</v>
      </c>
      <c r="F206" s="8">
        <v>7400</v>
      </c>
      <c r="G206" s="8">
        <f t="shared" si="12"/>
        <v>9250</v>
      </c>
      <c r="H206" s="8">
        <f t="shared" si="13"/>
        <v>8426750</v>
      </c>
      <c r="I206" s="8">
        <f t="shared" si="14"/>
        <v>6741400</v>
      </c>
      <c r="J206" s="8">
        <f t="shared" si="15"/>
        <v>1685350</v>
      </c>
      <c r="K206" s="9">
        <v>45971</v>
      </c>
      <c r="L206" s="10">
        <f>Table1[[#This Row],[Profit]]/Table1[[#This Row],[Sales]]</f>
        <v>0.2</v>
      </c>
    </row>
    <row r="207" spans="1:12">
      <c r="A207" t="s">
        <v>19</v>
      </c>
      <c r="B207" t="s">
        <v>97</v>
      </c>
      <c r="C207" t="s">
        <v>34</v>
      </c>
      <c r="D207" t="s">
        <v>14</v>
      </c>
      <c r="E207" s="7">
        <v>2957</v>
      </c>
      <c r="F207" s="8">
        <v>7500</v>
      </c>
      <c r="G207" s="8">
        <f t="shared" si="12"/>
        <v>9375</v>
      </c>
      <c r="H207" s="8">
        <f t="shared" si="13"/>
        <v>27721875</v>
      </c>
      <c r="I207" s="8">
        <f t="shared" si="14"/>
        <v>22177500</v>
      </c>
      <c r="J207" s="8">
        <f t="shared" si="15"/>
        <v>5544375</v>
      </c>
      <c r="K207" s="9">
        <v>45974</v>
      </c>
      <c r="L207" s="10">
        <f>Table1[[#This Row],[Profit]]/Table1[[#This Row],[Sales]]</f>
        <v>0.2</v>
      </c>
    </row>
    <row r="208" spans="1:12">
      <c r="A208" t="s">
        <v>19</v>
      </c>
      <c r="B208" t="s">
        <v>62</v>
      </c>
      <c r="C208" t="s">
        <v>17</v>
      </c>
      <c r="D208" t="s">
        <v>14</v>
      </c>
      <c r="E208" s="7">
        <v>318</v>
      </c>
      <c r="F208" s="8">
        <v>17500</v>
      </c>
      <c r="G208" s="8">
        <f t="shared" si="12"/>
        <v>21875</v>
      </c>
      <c r="H208" s="8">
        <f t="shared" si="13"/>
        <v>6956250</v>
      </c>
      <c r="I208" s="8">
        <f t="shared" si="14"/>
        <v>5565000</v>
      </c>
      <c r="J208" s="8">
        <f t="shared" si="15"/>
        <v>1391250</v>
      </c>
      <c r="K208" s="9">
        <v>45976</v>
      </c>
      <c r="L208" s="10">
        <f>Table1[[#This Row],[Profit]]/Table1[[#This Row],[Sales]]</f>
        <v>0.2</v>
      </c>
    </row>
    <row r="209" spans="1:12">
      <c r="A209" t="s">
        <v>19</v>
      </c>
      <c r="B209" t="s">
        <v>88</v>
      </c>
      <c r="C209" t="s">
        <v>31</v>
      </c>
      <c r="D209" t="s">
        <v>14</v>
      </c>
      <c r="E209" s="7">
        <v>1363</v>
      </c>
      <c r="F209" s="8">
        <v>17700</v>
      </c>
      <c r="G209" s="8">
        <f t="shared" si="12"/>
        <v>22125</v>
      </c>
      <c r="H209" s="8">
        <f t="shared" si="13"/>
        <v>30156375</v>
      </c>
      <c r="I209" s="8">
        <f t="shared" si="14"/>
        <v>24125100</v>
      </c>
      <c r="J209" s="8">
        <f t="shared" si="15"/>
        <v>6031275</v>
      </c>
      <c r="K209" s="9">
        <v>45976</v>
      </c>
      <c r="L209" s="10">
        <f>Table1[[#This Row],[Profit]]/Table1[[#This Row],[Sales]]</f>
        <v>0.2</v>
      </c>
    </row>
    <row r="210" spans="1:12">
      <c r="A210" t="s">
        <v>19</v>
      </c>
      <c r="B210" t="s">
        <v>77</v>
      </c>
      <c r="C210" t="s">
        <v>17</v>
      </c>
      <c r="D210" t="s">
        <v>14</v>
      </c>
      <c r="E210" s="7">
        <v>838</v>
      </c>
      <c r="F210" s="8">
        <v>12000</v>
      </c>
      <c r="G210" s="8">
        <f t="shared" si="12"/>
        <v>15000</v>
      </c>
      <c r="H210" s="8">
        <f t="shared" si="13"/>
        <v>12570000</v>
      </c>
      <c r="I210" s="8">
        <f t="shared" si="14"/>
        <v>10056000</v>
      </c>
      <c r="J210" s="8">
        <f t="shared" si="15"/>
        <v>2514000</v>
      </c>
      <c r="K210" s="9">
        <v>45976</v>
      </c>
      <c r="L210" s="10">
        <f>Table1[[#This Row],[Profit]]/Table1[[#This Row],[Sales]]</f>
        <v>0.2</v>
      </c>
    </row>
    <row r="211" spans="1:12">
      <c r="A211" t="s">
        <v>19</v>
      </c>
      <c r="B211" t="s">
        <v>88</v>
      </c>
      <c r="C211" t="s">
        <v>31</v>
      </c>
      <c r="D211" t="s">
        <v>14</v>
      </c>
      <c r="E211" s="7">
        <v>2378</v>
      </c>
      <c r="F211" s="8">
        <v>10600</v>
      </c>
      <c r="G211" s="8">
        <f t="shared" si="12"/>
        <v>13250</v>
      </c>
      <c r="H211" s="8">
        <f t="shared" si="13"/>
        <v>31508500</v>
      </c>
      <c r="I211" s="8">
        <f t="shared" si="14"/>
        <v>25206800</v>
      </c>
      <c r="J211" s="8">
        <f t="shared" si="15"/>
        <v>6301700</v>
      </c>
      <c r="K211" s="9">
        <v>45977</v>
      </c>
      <c r="L211" s="10">
        <f>Table1[[#This Row],[Profit]]/Table1[[#This Row],[Sales]]</f>
        <v>0.2</v>
      </c>
    </row>
    <row r="212" spans="1:12">
      <c r="A212" t="s">
        <v>19</v>
      </c>
      <c r="B212" t="s">
        <v>36</v>
      </c>
      <c r="C212" t="s">
        <v>79</v>
      </c>
      <c r="D212" t="s">
        <v>14</v>
      </c>
      <c r="E212" s="7">
        <v>631</v>
      </c>
      <c r="F212" s="8">
        <v>17300</v>
      </c>
      <c r="G212" s="8">
        <f t="shared" si="12"/>
        <v>21625</v>
      </c>
      <c r="H212" s="8">
        <f t="shared" si="13"/>
        <v>13645375</v>
      </c>
      <c r="I212" s="8">
        <f t="shared" si="14"/>
        <v>10916300</v>
      </c>
      <c r="J212" s="8">
        <f t="shared" si="15"/>
        <v>2729075</v>
      </c>
      <c r="K212" s="9">
        <v>45978</v>
      </c>
      <c r="L212" s="10">
        <f>Table1[[#This Row],[Profit]]/Table1[[#This Row],[Sales]]</f>
        <v>0.2</v>
      </c>
    </row>
    <row r="213" spans="1:12">
      <c r="A213" t="s">
        <v>19</v>
      </c>
      <c r="B213" t="s">
        <v>98</v>
      </c>
      <c r="C213" t="s">
        <v>37</v>
      </c>
      <c r="D213" t="s">
        <v>14</v>
      </c>
      <c r="E213" s="7">
        <v>1356</v>
      </c>
      <c r="F213" s="8">
        <v>5400</v>
      </c>
      <c r="G213" s="8">
        <f t="shared" si="12"/>
        <v>6750</v>
      </c>
      <c r="H213" s="8">
        <f t="shared" si="13"/>
        <v>9153000</v>
      </c>
      <c r="I213" s="8">
        <f t="shared" si="14"/>
        <v>7322400</v>
      </c>
      <c r="J213" s="8">
        <f t="shared" si="15"/>
        <v>1830600</v>
      </c>
      <c r="K213" s="9">
        <v>45978</v>
      </c>
      <c r="L213" s="10">
        <f>Table1[[#This Row],[Profit]]/Table1[[#This Row],[Sales]]</f>
        <v>0.2</v>
      </c>
    </row>
    <row r="214" spans="1:12">
      <c r="A214" t="s">
        <v>19</v>
      </c>
      <c r="B214" t="s">
        <v>98</v>
      </c>
      <c r="C214" t="s">
        <v>79</v>
      </c>
      <c r="D214" t="s">
        <v>14</v>
      </c>
      <c r="E214" s="7">
        <v>2991</v>
      </c>
      <c r="F214" s="8">
        <v>11800</v>
      </c>
      <c r="G214" s="8">
        <f t="shared" si="12"/>
        <v>14750</v>
      </c>
      <c r="H214" s="8">
        <f t="shared" si="13"/>
        <v>44117250</v>
      </c>
      <c r="I214" s="8">
        <f t="shared" si="14"/>
        <v>35293800</v>
      </c>
      <c r="J214" s="8">
        <f t="shared" si="15"/>
        <v>8823450</v>
      </c>
      <c r="K214" s="9">
        <v>45978</v>
      </c>
      <c r="L214" s="10">
        <f>Table1[[#This Row],[Profit]]/Table1[[#This Row],[Sales]]</f>
        <v>0.2</v>
      </c>
    </row>
    <row r="215" spans="1:12">
      <c r="A215" t="s">
        <v>19</v>
      </c>
      <c r="B215" t="s">
        <v>77</v>
      </c>
      <c r="C215" t="s">
        <v>27</v>
      </c>
      <c r="D215" t="s">
        <v>14</v>
      </c>
      <c r="E215" s="7">
        <v>914</v>
      </c>
      <c r="F215" s="8">
        <v>17600</v>
      </c>
      <c r="G215" s="8">
        <f t="shared" si="12"/>
        <v>22000</v>
      </c>
      <c r="H215" s="8">
        <f t="shared" si="13"/>
        <v>20108000</v>
      </c>
      <c r="I215" s="8">
        <f t="shared" si="14"/>
        <v>16086400</v>
      </c>
      <c r="J215" s="8">
        <f t="shared" si="15"/>
        <v>4021600</v>
      </c>
      <c r="K215" s="9">
        <v>45979</v>
      </c>
      <c r="L215" s="10">
        <f>Table1[[#This Row],[Profit]]/Table1[[#This Row],[Sales]]</f>
        <v>0.2</v>
      </c>
    </row>
    <row r="216" spans="1:12">
      <c r="A216" t="s">
        <v>19</v>
      </c>
      <c r="B216" t="s">
        <v>36</v>
      </c>
      <c r="C216" t="s">
        <v>37</v>
      </c>
      <c r="D216" t="s">
        <v>14</v>
      </c>
      <c r="E216" s="7">
        <v>1367</v>
      </c>
      <c r="F216" s="8">
        <v>8000</v>
      </c>
      <c r="G216" s="8">
        <f t="shared" si="12"/>
        <v>10000</v>
      </c>
      <c r="H216" s="8">
        <f t="shared" si="13"/>
        <v>13670000</v>
      </c>
      <c r="I216" s="8">
        <f t="shared" si="14"/>
        <v>10936000</v>
      </c>
      <c r="J216" s="8">
        <f t="shared" si="15"/>
        <v>2734000</v>
      </c>
      <c r="K216" s="9">
        <v>45981</v>
      </c>
      <c r="L216" s="10">
        <f>Table1[[#This Row],[Profit]]/Table1[[#This Row],[Sales]]</f>
        <v>0.2</v>
      </c>
    </row>
    <row r="217" spans="1:12">
      <c r="A217" t="s">
        <v>19</v>
      </c>
      <c r="B217" t="s">
        <v>88</v>
      </c>
      <c r="C217" t="s">
        <v>63</v>
      </c>
      <c r="D217" t="s">
        <v>14</v>
      </c>
      <c r="E217" s="7">
        <v>2308</v>
      </c>
      <c r="F217" s="8">
        <v>12000</v>
      </c>
      <c r="G217" s="8">
        <f t="shared" si="12"/>
        <v>15000</v>
      </c>
      <c r="H217" s="8">
        <f t="shared" si="13"/>
        <v>34620000</v>
      </c>
      <c r="I217" s="8">
        <f t="shared" si="14"/>
        <v>27696000</v>
      </c>
      <c r="J217" s="8">
        <f t="shared" si="15"/>
        <v>6924000</v>
      </c>
      <c r="K217" s="9">
        <v>45982</v>
      </c>
      <c r="L217" s="10">
        <f>Table1[[#This Row],[Profit]]/Table1[[#This Row],[Sales]]</f>
        <v>0.2</v>
      </c>
    </row>
    <row r="218" spans="1:12">
      <c r="A218" t="s">
        <v>19</v>
      </c>
      <c r="B218" t="s">
        <v>88</v>
      </c>
      <c r="C218" t="s">
        <v>68</v>
      </c>
      <c r="D218" t="s">
        <v>14</v>
      </c>
      <c r="E218" s="7">
        <v>2954</v>
      </c>
      <c r="F218" s="8">
        <v>19700</v>
      </c>
      <c r="G218" s="8">
        <f t="shared" si="12"/>
        <v>24625</v>
      </c>
      <c r="H218" s="8">
        <f t="shared" si="13"/>
        <v>72742250</v>
      </c>
      <c r="I218" s="8">
        <f t="shared" si="14"/>
        <v>58193800</v>
      </c>
      <c r="J218" s="8">
        <f t="shared" si="15"/>
        <v>14548450</v>
      </c>
      <c r="K218" s="9">
        <v>45982</v>
      </c>
      <c r="L218" s="10">
        <f>Table1[[#This Row],[Profit]]/Table1[[#This Row],[Sales]]</f>
        <v>0.2</v>
      </c>
    </row>
    <row r="219" spans="1:12">
      <c r="A219" t="s">
        <v>19</v>
      </c>
      <c r="B219" t="s">
        <v>77</v>
      </c>
      <c r="C219" t="s">
        <v>31</v>
      </c>
      <c r="D219" t="s">
        <v>14</v>
      </c>
      <c r="E219" s="7">
        <v>533</v>
      </c>
      <c r="F219" s="8">
        <v>15900</v>
      </c>
      <c r="G219" s="8">
        <f t="shared" si="12"/>
        <v>19875</v>
      </c>
      <c r="H219" s="8">
        <f t="shared" si="13"/>
        <v>10593375</v>
      </c>
      <c r="I219" s="8">
        <f t="shared" si="14"/>
        <v>8474700</v>
      </c>
      <c r="J219" s="8">
        <f t="shared" si="15"/>
        <v>2118675</v>
      </c>
      <c r="K219" s="9">
        <v>45982</v>
      </c>
      <c r="L219" s="10">
        <f>Table1[[#This Row],[Profit]]/Table1[[#This Row],[Sales]]</f>
        <v>0.2</v>
      </c>
    </row>
    <row r="220" spans="1:12">
      <c r="A220" t="s">
        <v>19</v>
      </c>
      <c r="B220" t="s">
        <v>51</v>
      </c>
      <c r="C220" t="s">
        <v>68</v>
      </c>
      <c r="D220" t="s">
        <v>14</v>
      </c>
      <c r="E220" s="7">
        <v>2893</v>
      </c>
      <c r="F220" s="8">
        <v>9300</v>
      </c>
      <c r="G220" s="8">
        <f t="shared" si="12"/>
        <v>11625</v>
      </c>
      <c r="H220" s="8">
        <f t="shared" si="13"/>
        <v>33631125</v>
      </c>
      <c r="I220" s="8">
        <f t="shared" si="14"/>
        <v>26904900</v>
      </c>
      <c r="J220" s="8">
        <f t="shared" si="15"/>
        <v>6726225</v>
      </c>
      <c r="K220" s="9">
        <v>45982</v>
      </c>
      <c r="L220" s="10">
        <f>Table1[[#This Row],[Profit]]/Table1[[#This Row],[Sales]]</f>
        <v>0.2</v>
      </c>
    </row>
    <row r="221" spans="1:12">
      <c r="A221" t="s">
        <v>19</v>
      </c>
      <c r="B221" t="s">
        <v>36</v>
      </c>
      <c r="C221" t="s">
        <v>31</v>
      </c>
      <c r="D221" t="s">
        <v>14</v>
      </c>
      <c r="E221" s="7">
        <v>1359</v>
      </c>
      <c r="F221" s="8">
        <v>18600</v>
      </c>
      <c r="G221" s="8">
        <f t="shared" si="12"/>
        <v>23250</v>
      </c>
      <c r="H221" s="8">
        <f t="shared" si="13"/>
        <v>31596750</v>
      </c>
      <c r="I221" s="8">
        <f t="shared" si="14"/>
        <v>25277400</v>
      </c>
      <c r="J221" s="8">
        <f t="shared" si="15"/>
        <v>6319350</v>
      </c>
      <c r="K221" s="9">
        <v>45983</v>
      </c>
      <c r="L221" s="10">
        <f>Table1[[#This Row],[Profit]]/Table1[[#This Row],[Sales]]</f>
        <v>0.2</v>
      </c>
    </row>
    <row r="222" spans="1:12">
      <c r="A222" t="s">
        <v>19</v>
      </c>
      <c r="B222" t="s">
        <v>36</v>
      </c>
      <c r="C222" t="s">
        <v>34</v>
      </c>
      <c r="D222" t="s">
        <v>14</v>
      </c>
      <c r="E222" s="7">
        <v>2136</v>
      </c>
      <c r="F222" s="8">
        <v>20800</v>
      </c>
      <c r="G222" s="8">
        <f t="shared" si="12"/>
        <v>26000</v>
      </c>
      <c r="H222" s="8">
        <f t="shared" si="13"/>
        <v>55536000</v>
      </c>
      <c r="I222" s="8">
        <f t="shared" si="14"/>
        <v>44428800</v>
      </c>
      <c r="J222" s="8">
        <f t="shared" si="15"/>
        <v>11107200</v>
      </c>
      <c r="K222" s="9">
        <v>45984</v>
      </c>
      <c r="L222" s="10">
        <f>Table1[[#This Row],[Profit]]/Table1[[#This Row],[Sales]]</f>
        <v>0.2</v>
      </c>
    </row>
    <row r="223" spans="1:12">
      <c r="A223" t="s">
        <v>19</v>
      </c>
      <c r="B223" t="s">
        <v>39</v>
      </c>
      <c r="C223" t="s">
        <v>21</v>
      </c>
      <c r="D223" t="s">
        <v>14</v>
      </c>
      <c r="E223" s="7">
        <v>531</v>
      </c>
      <c r="F223" s="8">
        <v>9600</v>
      </c>
      <c r="G223" s="8">
        <f t="shared" si="12"/>
        <v>12000</v>
      </c>
      <c r="H223" s="8">
        <f t="shared" si="13"/>
        <v>6372000</v>
      </c>
      <c r="I223" s="8">
        <f t="shared" si="14"/>
        <v>5097600</v>
      </c>
      <c r="J223" s="8">
        <f t="shared" si="15"/>
        <v>1274400</v>
      </c>
      <c r="K223" s="9">
        <v>45986</v>
      </c>
      <c r="L223" s="10">
        <f>Table1[[#This Row],[Profit]]/Table1[[#This Row],[Sales]]</f>
        <v>0.2</v>
      </c>
    </row>
    <row r="224" spans="1:12">
      <c r="A224" t="s">
        <v>19</v>
      </c>
      <c r="B224" t="s">
        <v>36</v>
      </c>
      <c r="C224" t="s">
        <v>17</v>
      </c>
      <c r="D224" t="s">
        <v>14</v>
      </c>
      <c r="E224" s="7">
        <v>335</v>
      </c>
      <c r="F224" s="8">
        <v>20900</v>
      </c>
      <c r="G224" s="8">
        <f t="shared" si="12"/>
        <v>26125</v>
      </c>
      <c r="H224" s="8">
        <f t="shared" si="13"/>
        <v>8751875</v>
      </c>
      <c r="I224" s="8">
        <f t="shared" si="14"/>
        <v>7001500</v>
      </c>
      <c r="J224" s="8">
        <f t="shared" si="15"/>
        <v>1750375</v>
      </c>
      <c r="K224" s="9">
        <v>45986</v>
      </c>
      <c r="L224" s="10">
        <f>Table1[[#This Row],[Profit]]/Table1[[#This Row],[Sales]]</f>
        <v>0.2</v>
      </c>
    </row>
    <row r="225" spans="1:12">
      <c r="A225" t="s">
        <v>19</v>
      </c>
      <c r="B225" t="s">
        <v>20</v>
      </c>
      <c r="C225" t="s">
        <v>68</v>
      </c>
      <c r="D225" t="s">
        <v>14</v>
      </c>
      <c r="E225" s="7">
        <v>221</v>
      </c>
      <c r="F225" s="8">
        <v>4400</v>
      </c>
      <c r="G225" s="8">
        <f t="shared" si="12"/>
        <v>5500</v>
      </c>
      <c r="H225" s="8">
        <f t="shared" si="13"/>
        <v>1215500</v>
      </c>
      <c r="I225" s="8">
        <f t="shared" si="14"/>
        <v>972400</v>
      </c>
      <c r="J225" s="8">
        <f t="shared" si="15"/>
        <v>243100</v>
      </c>
      <c r="K225" s="9">
        <v>45986</v>
      </c>
      <c r="L225" s="10">
        <f>Table1[[#This Row],[Profit]]/Table1[[#This Row],[Sales]]</f>
        <v>0.2</v>
      </c>
    </row>
    <row r="226" spans="1:12">
      <c r="A226" t="s">
        <v>19</v>
      </c>
      <c r="B226" t="s">
        <v>97</v>
      </c>
      <c r="C226" t="s">
        <v>13</v>
      </c>
      <c r="D226" t="s">
        <v>14</v>
      </c>
      <c r="E226" s="7">
        <v>1984</v>
      </c>
      <c r="F226" s="8">
        <v>16100</v>
      </c>
      <c r="G226" s="8">
        <f t="shared" si="12"/>
        <v>20125</v>
      </c>
      <c r="H226" s="8">
        <f t="shared" si="13"/>
        <v>39928000</v>
      </c>
      <c r="I226" s="8">
        <f t="shared" si="14"/>
        <v>31942400</v>
      </c>
      <c r="J226" s="8">
        <f t="shared" si="15"/>
        <v>7985600</v>
      </c>
      <c r="K226" s="9">
        <v>45987</v>
      </c>
      <c r="L226" s="10">
        <f>Table1[[#This Row],[Profit]]/Table1[[#This Row],[Sales]]</f>
        <v>0.2</v>
      </c>
    </row>
    <row r="227" spans="1:12">
      <c r="A227" t="s">
        <v>19</v>
      </c>
      <c r="B227" t="s">
        <v>62</v>
      </c>
      <c r="C227" t="s">
        <v>21</v>
      </c>
      <c r="D227" t="s">
        <v>14</v>
      </c>
      <c r="E227" s="7">
        <v>2607</v>
      </c>
      <c r="F227" s="8">
        <v>18500</v>
      </c>
      <c r="G227" s="8">
        <f t="shared" si="12"/>
        <v>23125</v>
      </c>
      <c r="H227" s="8">
        <f t="shared" si="13"/>
        <v>60286875</v>
      </c>
      <c r="I227" s="8">
        <f t="shared" si="14"/>
        <v>48229500</v>
      </c>
      <c r="J227" s="8">
        <f t="shared" si="15"/>
        <v>12057375</v>
      </c>
      <c r="K227" s="9">
        <v>45987</v>
      </c>
      <c r="L227" s="10">
        <f>Table1[[#This Row],[Profit]]/Table1[[#This Row],[Sales]]</f>
        <v>0.2</v>
      </c>
    </row>
    <row r="228" spans="1:12">
      <c r="A228" t="s">
        <v>19</v>
      </c>
      <c r="B228" t="s">
        <v>39</v>
      </c>
      <c r="C228" t="s">
        <v>68</v>
      </c>
      <c r="D228" t="s">
        <v>14</v>
      </c>
      <c r="E228" s="7">
        <v>1007</v>
      </c>
      <c r="F228" s="8">
        <v>19100</v>
      </c>
      <c r="G228" s="8">
        <f t="shared" si="12"/>
        <v>23875</v>
      </c>
      <c r="H228" s="8">
        <f t="shared" si="13"/>
        <v>24042125</v>
      </c>
      <c r="I228" s="8">
        <f t="shared" si="14"/>
        <v>19233700</v>
      </c>
      <c r="J228" s="8">
        <f t="shared" si="15"/>
        <v>4808425</v>
      </c>
      <c r="K228" s="9">
        <v>45988</v>
      </c>
      <c r="L228" s="10">
        <f>Table1[[#This Row],[Profit]]/Table1[[#This Row],[Sales]]</f>
        <v>0.2</v>
      </c>
    </row>
    <row r="229" spans="1:12">
      <c r="A229" t="s">
        <v>19</v>
      </c>
      <c r="B229" t="s">
        <v>20</v>
      </c>
      <c r="C229" t="s">
        <v>31</v>
      </c>
      <c r="D229" t="s">
        <v>14</v>
      </c>
      <c r="E229" s="7">
        <v>1865</v>
      </c>
      <c r="F229" s="8">
        <v>22600</v>
      </c>
      <c r="G229" s="8">
        <f t="shared" si="12"/>
        <v>28250</v>
      </c>
      <c r="H229" s="8">
        <f t="shared" si="13"/>
        <v>52686250</v>
      </c>
      <c r="I229" s="8">
        <f t="shared" si="14"/>
        <v>42149000</v>
      </c>
      <c r="J229" s="8">
        <f t="shared" si="15"/>
        <v>10537250</v>
      </c>
      <c r="K229" s="9">
        <v>45989</v>
      </c>
      <c r="L229" s="10">
        <f>Table1[[#This Row],[Profit]]/Table1[[#This Row],[Sales]]</f>
        <v>0.2</v>
      </c>
    </row>
    <row r="230" spans="1:12">
      <c r="A230" t="s">
        <v>19</v>
      </c>
      <c r="B230" t="s">
        <v>36</v>
      </c>
      <c r="C230" t="s">
        <v>21</v>
      </c>
      <c r="D230" t="s">
        <v>14</v>
      </c>
      <c r="E230" s="7">
        <v>1010</v>
      </c>
      <c r="F230" s="8">
        <v>17000</v>
      </c>
      <c r="G230" s="8">
        <f t="shared" si="12"/>
        <v>21250</v>
      </c>
      <c r="H230" s="8">
        <f t="shared" si="13"/>
        <v>21462500</v>
      </c>
      <c r="I230" s="8">
        <f t="shared" si="14"/>
        <v>17170000</v>
      </c>
      <c r="J230" s="8">
        <f t="shared" si="15"/>
        <v>4292500</v>
      </c>
      <c r="K230" s="9">
        <v>45989</v>
      </c>
      <c r="L230" s="10">
        <f>Table1[[#This Row],[Profit]]/Table1[[#This Row],[Sales]]</f>
        <v>0.2</v>
      </c>
    </row>
    <row r="231" spans="1:12">
      <c r="A231" t="s">
        <v>19</v>
      </c>
      <c r="B231" t="s">
        <v>51</v>
      </c>
      <c r="C231" t="s">
        <v>27</v>
      </c>
      <c r="D231" t="s">
        <v>14</v>
      </c>
      <c r="E231" s="7">
        <v>488</v>
      </c>
      <c r="F231" s="8">
        <v>5300</v>
      </c>
      <c r="G231" s="8">
        <f t="shared" si="12"/>
        <v>6625</v>
      </c>
      <c r="H231" s="8">
        <f t="shared" si="13"/>
        <v>3233000</v>
      </c>
      <c r="I231" s="8">
        <f t="shared" si="14"/>
        <v>2586400</v>
      </c>
      <c r="J231" s="8">
        <f t="shared" si="15"/>
        <v>646600</v>
      </c>
      <c r="K231" s="9">
        <v>45992</v>
      </c>
      <c r="L231" s="10">
        <f>Table1[[#This Row],[Profit]]/Table1[[#This Row],[Sales]]</f>
        <v>0.2</v>
      </c>
    </row>
    <row r="232" spans="1:12">
      <c r="A232" t="s">
        <v>19</v>
      </c>
      <c r="B232" t="s">
        <v>51</v>
      </c>
      <c r="C232" t="s">
        <v>13</v>
      </c>
      <c r="D232" t="s">
        <v>14</v>
      </c>
      <c r="E232" s="7">
        <v>1171</v>
      </c>
      <c r="F232" s="8">
        <v>15800</v>
      </c>
      <c r="G232" s="8">
        <f t="shared" si="12"/>
        <v>19750</v>
      </c>
      <c r="H232" s="8">
        <f t="shared" si="13"/>
        <v>23127250</v>
      </c>
      <c r="I232" s="8">
        <f t="shared" si="14"/>
        <v>18501800</v>
      </c>
      <c r="J232" s="8">
        <f t="shared" si="15"/>
        <v>4625450</v>
      </c>
      <c r="K232" s="9">
        <v>45994</v>
      </c>
      <c r="L232" s="10">
        <f>Table1[[#This Row],[Profit]]/Table1[[#This Row],[Sales]]</f>
        <v>0.2</v>
      </c>
    </row>
    <row r="233" spans="1:12">
      <c r="A233" t="s">
        <v>19</v>
      </c>
      <c r="B233" t="s">
        <v>77</v>
      </c>
      <c r="C233" t="s">
        <v>79</v>
      </c>
      <c r="D233" t="s">
        <v>14</v>
      </c>
      <c r="E233" s="7">
        <v>278</v>
      </c>
      <c r="F233" s="8">
        <v>24100</v>
      </c>
      <c r="G233" s="8">
        <f t="shared" si="12"/>
        <v>30125</v>
      </c>
      <c r="H233" s="8">
        <f t="shared" si="13"/>
        <v>8374750</v>
      </c>
      <c r="I233" s="8">
        <f t="shared" si="14"/>
        <v>6699800</v>
      </c>
      <c r="J233" s="8">
        <f t="shared" si="15"/>
        <v>1674950</v>
      </c>
      <c r="K233" s="9">
        <v>45996</v>
      </c>
      <c r="L233" s="10">
        <f>Table1[[#This Row],[Profit]]/Table1[[#This Row],[Sales]]</f>
        <v>0.2</v>
      </c>
    </row>
    <row r="234" spans="1:12">
      <c r="A234" t="s">
        <v>19</v>
      </c>
      <c r="B234" t="s">
        <v>26</v>
      </c>
      <c r="C234" t="s">
        <v>37</v>
      </c>
      <c r="D234" t="s">
        <v>14</v>
      </c>
      <c r="E234" s="7">
        <v>579</v>
      </c>
      <c r="F234" s="8">
        <v>11900</v>
      </c>
      <c r="G234" s="8">
        <f t="shared" si="12"/>
        <v>14875</v>
      </c>
      <c r="H234" s="8">
        <f t="shared" si="13"/>
        <v>8612625</v>
      </c>
      <c r="I234" s="8">
        <f t="shared" si="14"/>
        <v>6890100</v>
      </c>
      <c r="J234" s="8">
        <f t="shared" si="15"/>
        <v>1722525</v>
      </c>
      <c r="K234" s="9">
        <v>45999</v>
      </c>
      <c r="L234" s="10">
        <f>Table1[[#This Row],[Profit]]/Table1[[#This Row],[Sales]]</f>
        <v>0.2</v>
      </c>
    </row>
    <row r="235" spans="1:12">
      <c r="A235" t="s">
        <v>19</v>
      </c>
      <c r="B235" t="s">
        <v>88</v>
      </c>
      <c r="C235" t="s">
        <v>37</v>
      </c>
      <c r="D235" t="s">
        <v>14</v>
      </c>
      <c r="E235" s="7">
        <v>2263</v>
      </c>
      <c r="F235" s="8">
        <v>17900</v>
      </c>
      <c r="G235" s="8">
        <f t="shared" si="12"/>
        <v>22375</v>
      </c>
      <c r="H235" s="8">
        <f t="shared" si="13"/>
        <v>50634625</v>
      </c>
      <c r="I235" s="8">
        <f t="shared" si="14"/>
        <v>40507700</v>
      </c>
      <c r="J235" s="8">
        <f t="shared" si="15"/>
        <v>10126925</v>
      </c>
      <c r="K235" s="9">
        <v>45999</v>
      </c>
      <c r="L235" s="10">
        <f>Table1[[#This Row],[Profit]]/Table1[[#This Row],[Sales]]</f>
        <v>0.2</v>
      </c>
    </row>
    <row r="236" spans="1:12">
      <c r="A236" t="s">
        <v>19</v>
      </c>
      <c r="B236" t="s">
        <v>98</v>
      </c>
      <c r="C236" t="s">
        <v>17</v>
      </c>
      <c r="D236" t="s">
        <v>14</v>
      </c>
      <c r="E236" s="7">
        <v>1191</v>
      </c>
      <c r="F236" s="8">
        <v>23300</v>
      </c>
      <c r="G236" s="8">
        <f t="shared" si="12"/>
        <v>29125</v>
      </c>
      <c r="H236" s="8">
        <f t="shared" si="13"/>
        <v>34687875</v>
      </c>
      <c r="I236" s="8">
        <f t="shared" si="14"/>
        <v>27750300</v>
      </c>
      <c r="J236" s="8">
        <f t="shared" si="15"/>
        <v>6937575</v>
      </c>
      <c r="K236" s="9">
        <v>46001</v>
      </c>
      <c r="L236" s="10">
        <f>Table1[[#This Row],[Profit]]/Table1[[#This Row],[Sales]]</f>
        <v>0.2</v>
      </c>
    </row>
    <row r="237" spans="1:12">
      <c r="A237" t="s">
        <v>19</v>
      </c>
      <c r="B237" t="s">
        <v>51</v>
      </c>
      <c r="C237" t="s">
        <v>63</v>
      </c>
      <c r="D237" t="s">
        <v>14</v>
      </c>
      <c r="E237" s="7">
        <v>2571</v>
      </c>
      <c r="F237" s="8">
        <v>14600</v>
      </c>
      <c r="G237" s="8">
        <f t="shared" si="12"/>
        <v>18250</v>
      </c>
      <c r="H237" s="8">
        <f t="shared" si="13"/>
        <v>46920750</v>
      </c>
      <c r="I237" s="8">
        <f t="shared" si="14"/>
        <v>37536600</v>
      </c>
      <c r="J237" s="8">
        <f t="shared" si="15"/>
        <v>9384150</v>
      </c>
      <c r="K237" s="9">
        <v>46001</v>
      </c>
      <c r="L237" s="10">
        <f>Table1[[#This Row],[Profit]]/Table1[[#This Row],[Sales]]</f>
        <v>0.2</v>
      </c>
    </row>
    <row r="238" spans="1:12">
      <c r="A238" t="s">
        <v>19</v>
      </c>
      <c r="B238" t="s">
        <v>62</v>
      </c>
      <c r="C238" t="s">
        <v>27</v>
      </c>
      <c r="D238" t="s">
        <v>14</v>
      </c>
      <c r="E238" s="7">
        <v>656</v>
      </c>
      <c r="F238" s="8">
        <v>13600</v>
      </c>
      <c r="G238" s="8">
        <f t="shared" si="12"/>
        <v>17000</v>
      </c>
      <c r="H238" s="8">
        <f t="shared" si="13"/>
        <v>11152000</v>
      </c>
      <c r="I238" s="8">
        <f t="shared" si="14"/>
        <v>8921600</v>
      </c>
      <c r="J238" s="8">
        <f t="shared" si="15"/>
        <v>2230400</v>
      </c>
      <c r="K238" s="9">
        <v>46004</v>
      </c>
      <c r="L238" s="10">
        <f>Table1[[#This Row],[Profit]]/Table1[[#This Row],[Sales]]</f>
        <v>0.2</v>
      </c>
    </row>
    <row r="239" spans="1:12">
      <c r="A239" t="s">
        <v>19</v>
      </c>
      <c r="B239" t="s">
        <v>98</v>
      </c>
      <c r="C239" t="s">
        <v>13</v>
      </c>
      <c r="D239" t="s">
        <v>14</v>
      </c>
      <c r="E239" s="7">
        <v>361</v>
      </c>
      <c r="F239" s="8">
        <v>3700</v>
      </c>
      <c r="G239" s="8">
        <f t="shared" si="12"/>
        <v>4625</v>
      </c>
      <c r="H239" s="8">
        <f t="shared" si="13"/>
        <v>1669625</v>
      </c>
      <c r="I239" s="8">
        <f t="shared" si="14"/>
        <v>1335700</v>
      </c>
      <c r="J239" s="8">
        <f t="shared" si="15"/>
        <v>333925</v>
      </c>
      <c r="K239" s="9">
        <v>46005</v>
      </c>
      <c r="L239" s="10">
        <f>Table1[[#This Row],[Profit]]/Table1[[#This Row],[Sales]]</f>
        <v>0.2</v>
      </c>
    </row>
    <row r="240" spans="1:12">
      <c r="A240" t="s">
        <v>19</v>
      </c>
      <c r="B240" t="s">
        <v>97</v>
      </c>
      <c r="C240" t="s">
        <v>37</v>
      </c>
      <c r="D240" t="s">
        <v>14</v>
      </c>
      <c r="E240" s="7">
        <v>2010</v>
      </c>
      <c r="F240" s="8">
        <v>18900</v>
      </c>
      <c r="G240" s="8">
        <f t="shared" si="12"/>
        <v>23625</v>
      </c>
      <c r="H240" s="8">
        <f t="shared" si="13"/>
        <v>47486250</v>
      </c>
      <c r="I240" s="8">
        <f t="shared" si="14"/>
        <v>37989000</v>
      </c>
      <c r="J240" s="8">
        <f t="shared" si="15"/>
        <v>9497250</v>
      </c>
      <c r="K240" s="9">
        <v>46007</v>
      </c>
      <c r="L240" s="10">
        <f>Table1[[#This Row],[Profit]]/Table1[[#This Row],[Sales]]</f>
        <v>0.2</v>
      </c>
    </row>
    <row r="241" spans="1:12">
      <c r="A241" t="s">
        <v>19</v>
      </c>
      <c r="B241" t="s">
        <v>26</v>
      </c>
      <c r="C241" t="s">
        <v>37</v>
      </c>
      <c r="D241" t="s">
        <v>14</v>
      </c>
      <c r="E241" s="7">
        <v>2431</v>
      </c>
      <c r="F241" s="8">
        <v>8600</v>
      </c>
      <c r="G241" s="8">
        <f t="shared" si="12"/>
        <v>10750</v>
      </c>
      <c r="H241" s="8">
        <f t="shared" si="13"/>
        <v>26133250</v>
      </c>
      <c r="I241" s="8">
        <f t="shared" si="14"/>
        <v>20906600</v>
      </c>
      <c r="J241" s="8">
        <f t="shared" si="15"/>
        <v>5226650</v>
      </c>
      <c r="K241" s="9">
        <v>46009</v>
      </c>
      <c r="L241" s="10">
        <f>Table1[[#This Row],[Profit]]/Table1[[#This Row],[Sales]]</f>
        <v>0.2</v>
      </c>
    </row>
    <row r="242" spans="1:12">
      <c r="A242" t="s">
        <v>19</v>
      </c>
      <c r="B242" t="s">
        <v>51</v>
      </c>
      <c r="C242" t="s">
        <v>63</v>
      </c>
      <c r="D242" t="s">
        <v>14</v>
      </c>
      <c r="E242" s="7">
        <v>906</v>
      </c>
      <c r="F242" s="8">
        <v>1800</v>
      </c>
      <c r="G242" s="8">
        <f t="shared" si="12"/>
        <v>2250</v>
      </c>
      <c r="H242" s="8">
        <f t="shared" si="13"/>
        <v>2038500</v>
      </c>
      <c r="I242" s="8">
        <f t="shared" si="14"/>
        <v>1630800</v>
      </c>
      <c r="J242" s="8">
        <f t="shared" si="15"/>
        <v>407700</v>
      </c>
      <c r="K242" s="9">
        <v>46010</v>
      </c>
      <c r="L242" s="10">
        <f>Table1[[#This Row],[Profit]]/Table1[[#This Row],[Sales]]</f>
        <v>0.2</v>
      </c>
    </row>
    <row r="243" spans="1:12">
      <c r="A243" t="s">
        <v>19</v>
      </c>
      <c r="B243" t="s">
        <v>88</v>
      </c>
      <c r="C243" t="s">
        <v>27</v>
      </c>
      <c r="D243" t="s">
        <v>14</v>
      </c>
      <c r="E243" s="7">
        <v>2410</v>
      </c>
      <c r="F243" s="8">
        <v>7100</v>
      </c>
      <c r="G243" s="8">
        <f t="shared" si="12"/>
        <v>8875</v>
      </c>
      <c r="H243" s="8">
        <f t="shared" si="13"/>
        <v>21388750</v>
      </c>
      <c r="I243" s="8">
        <f t="shared" si="14"/>
        <v>17111000</v>
      </c>
      <c r="J243" s="8">
        <f t="shared" si="15"/>
        <v>4277750</v>
      </c>
      <c r="K243" s="9">
        <v>46011</v>
      </c>
      <c r="L243" s="10">
        <f>Table1[[#This Row],[Profit]]/Table1[[#This Row],[Sales]]</f>
        <v>0.2</v>
      </c>
    </row>
    <row r="244" spans="1:12">
      <c r="A244" t="s">
        <v>19</v>
      </c>
      <c r="B244" t="s">
        <v>88</v>
      </c>
      <c r="C244" t="s">
        <v>34</v>
      </c>
      <c r="D244" t="s">
        <v>14</v>
      </c>
      <c r="E244" s="7">
        <v>2685</v>
      </c>
      <c r="F244" s="8">
        <v>20300</v>
      </c>
      <c r="G244" s="8">
        <f t="shared" si="12"/>
        <v>25375</v>
      </c>
      <c r="H244" s="8">
        <f t="shared" si="13"/>
        <v>68131875</v>
      </c>
      <c r="I244" s="8">
        <f t="shared" si="14"/>
        <v>54505500</v>
      </c>
      <c r="J244" s="8">
        <f t="shared" si="15"/>
        <v>13626375</v>
      </c>
      <c r="K244" s="9">
        <v>46013</v>
      </c>
      <c r="L244" s="10">
        <f>Table1[[#This Row],[Profit]]/Table1[[#This Row],[Sales]]</f>
        <v>0.2</v>
      </c>
    </row>
    <row r="245" spans="1:12">
      <c r="A245" t="s">
        <v>19</v>
      </c>
      <c r="B245" t="s">
        <v>97</v>
      </c>
      <c r="C245" t="s">
        <v>34</v>
      </c>
      <c r="D245" t="s">
        <v>14</v>
      </c>
      <c r="E245" s="7">
        <v>2879</v>
      </c>
      <c r="F245" s="8">
        <v>2100</v>
      </c>
      <c r="G245" s="8">
        <f t="shared" si="12"/>
        <v>2625</v>
      </c>
      <c r="H245" s="8">
        <f t="shared" si="13"/>
        <v>7557375</v>
      </c>
      <c r="I245" s="8">
        <f t="shared" si="14"/>
        <v>6045900</v>
      </c>
      <c r="J245" s="8">
        <f t="shared" si="15"/>
        <v>1511475</v>
      </c>
      <c r="K245" s="9">
        <v>46013</v>
      </c>
      <c r="L245" s="10">
        <f>Table1[[#This Row],[Profit]]/Table1[[#This Row],[Sales]]</f>
        <v>0.2</v>
      </c>
    </row>
    <row r="246" spans="1:12">
      <c r="A246" t="s">
        <v>19</v>
      </c>
      <c r="B246" t="s">
        <v>98</v>
      </c>
      <c r="C246" t="s">
        <v>34</v>
      </c>
      <c r="D246" t="s">
        <v>14</v>
      </c>
      <c r="E246" s="7">
        <v>137</v>
      </c>
      <c r="F246" s="8">
        <v>3300</v>
      </c>
      <c r="G246" s="8">
        <f t="shared" si="12"/>
        <v>4125</v>
      </c>
      <c r="H246" s="8">
        <f t="shared" si="13"/>
        <v>565125</v>
      </c>
      <c r="I246" s="8">
        <f t="shared" si="14"/>
        <v>452100</v>
      </c>
      <c r="J246" s="8">
        <f t="shared" si="15"/>
        <v>113025</v>
      </c>
      <c r="K246" s="9">
        <v>46014</v>
      </c>
      <c r="L246" s="10">
        <f>Table1[[#This Row],[Profit]]/Table1[[#This Row],[Sales]]</f>
        <v>0.2</v>
      </c>
    </row>
    <row r="247" spans="1:12">
      <c r="A247" t="s">
        <v>19</v>
      </c>
      <c r="B247" t="s">
        <v>36</v>
      </c>
      <c r="C247" t="s">
        <v>27</v>
      </c>
      <c r="D247" t="s">
        <v>14</v>
      </c>
      <c r="E247" s="7">
        <v>1801</v>
      </c>
      <c r="F247" s="8">
        <v>9300</v>
      </c>
      <c r="G247" s="8">
        <f t="shared" si="12"/>
        <v>11625</v>
      </c>
      <c r="H247" s="8">
        <f t="shared" si="13"/>
        <v>20936625</v>
      </c>
      <c r="I247" s="8">
        <f t="shared" si="14"/>
        <v>16749300</v>
      </c>
      <c r="J247" s="8">
        <f t="shared" si="15"/>
        <v>4187325</v>
      </c>
      <c r="K247" s="9">
        <v>46015</v>
      </c>
      <c r="L247" s="10">
        <f>Table1[[#This Row],[Profit]]/Table1[[#This Row],[Sales]]</f>
        <v>0.2</v>
      </c>
    </row>
    <row r="248" spans="1:12">
      <c r="A248" t="s">
        <v>19</v>
      </c>
      <c r="B248" t="s">
        <v>20</v>
      </c>
      <c r="C248" t="s">
        <v>79</v>
      </c>
      <c r="D248" t="s">
        <v>14</v>
      </c>
      <c r="E248" s="7">
        <v>1384</v>
      </c>
      <c r="F248" s="8">
        <v>7100</v>
      </c>
      <c r="G248" s="8">
        <f t="shared" si="12"/>
        <v>8875</v>
      </c>
      <c r="H248" s="8">
        <f t="shared" si="13"/>
        <v>12283000</v>
      </c>
      <c r="I248" s="8">
        <f t="shared" si="14"/>
        <v>9826400</v>
      </c>
      <c r="J248" s="8">
        <f t="shared" si="15"/>
        <v>2456600</v>
      </c>
      <c r="K248" s="9">
        <v>46015</v>
      </c>
      <c r="L248" s="10">
        <f>Table1[[#This Row],[Profit]]/Table1[[#This Row],[Sales]]</f>
        <v>0.2</v>
      </c>
    </row>
    <row r="249" spans="1:12">
      <c r="A249" t="s">
        <v>19</v>
      </c>
      <c r="B249" t="s">
        <v>98</v>
      </c>
      <c r="C249" t="s">
        <v>31</v>
      </c>
      <c r="D249" t="s">
        <v>14</v>
      </c>
      <c r="E249" s="7">
        <v>1515</v>
      </c>
      <c r="F249" s="8">
        <v>22600</v>
      </c>
      <c r="G249" s="8">
        <f t="shared" si="12"/>
        <v>28250</v>
      </c>
      <c r="H249" s="8">
        <f t="shared" si="13"/>
        <v>42798750</v>
      </c>
      <c r="I249" s="8">
        <f t="shared" si="14"/>
        <v>34239000</v>
      </c>
      <c r="J249" s="8">
        <f t="shared" si="15"/>
        <v>8559750</v>
      </c>
      <c r="K249" s="9">
        <v>46017</v>
      </c>
      <c r="L249" s="10">
        <f>Table1[[#This Row],[Profit]]/Table1[[#This Row],[Sales]]</f>
        <v>0.2</v>
      </c>
    </row>
    <row r="250" spans="1:12">
      <c r="A250" t="s">
        <v>19</v>
      </c>
      <c r="B250" t="s">
        <v>62</v>
      </c>
      <c r="C250" t="s">
        <v>79</v>
      </c>
      <c r="D250" t="s">
        <v>14</v>
      </c>
      <c r="E250" s="7">
        <v>2272</v>
      </c>
      <c r="F250" s="8">
        <v>14400</v>
      </c>
      <c r="G250" s="8">
        <f t="shared" si="12"/>
        <v>18000</v>
      </c>
      <c r="H250" s="8">
        <f t="shared" si="13"/>
        <v>40896000</v>
      </c>
      <c r="I250" s="8">
        <f t="shared" si="14"/>
        <v>32716800</v>
      </c>
      <c r="J250" s="8">
        <f t="shared" si="15"/>
        <v>8179200</v>
      </c>
      <c r="K250" s="9">
        <v>46018</v>
      </c>
      <c r="L250" s="10">
        <f>Table1[[#This Row],[Profit]]/Table1[[#This Row],[Sales]]</f>
        <v>0.2</v>
      </c>
    </row>
    <row r="251" spans="1:12">
      <c r="A251" t="s">
        <v>19</v>
      </c>
      <c r="B251" t="s">
        <v>62</v>
      </c>
      <c r="C251" t="s">
        <v>34</v>
      </c>
      <c r="D251" t="s">
        <v>14</v>
      </c>
      <c r="E251" s="7">
        <v>1783</v>
      </c>
      <c r="F251" s="8">
        <v>24200</v>
      </c>
      <c r="G251" s="8">
        <f t="shared" si="12"/>
        <v>30250</v>
      </c>
      <c r="H251" s="8">
        <f t="shared" si="13"/>
        <v>53935750</v>
      </c>
      <c r="I251" s="8">
        <f t="shared" si="14"/>
        <v>43148600</v>
      </c>
      <c r="J251" s="8">
        <f t="shared" si="15"/>
        <v>10787150</v>
      </c>
      <c r="K251" s="9">
        <v>46020</v>
      </c>
      <c r="L251" s="10">
        <f>Table1[[#This Row],[Profit]]/Table1[[#This Row],[Sales]]</f>
        <v>0.2</v>
      </c>
    </row>
    <row r="252" spans="1:12">
      <c r="A252" t="s">
        <v>19</v>
      </c>
      <c r="B252" t="s">
        <v>77</v>
      </c>
      <c r="C252" t="s">
        <v>13</v>
      </c>
      <c r="D252" t="s">
        <v>14</v>
      </c>
      <c r="E252" s="7">
        <v>1235</v>
      </c>
      <c r="F252" s="8">
        <v>19500</v>
      </c>
      <c r="G252" s="8">
        <f t="shared" si="12"/>
        <v>24375</v>
      </c>
      <c r="H252" s="8">
        <f t="shared" si="13"/>
        <v>30103125</v>
      </c>
      <c r="I252" s="8">
        <f t="shared" si="14"/>
        <v>24082500</v>
      </c>
      <c r="J252" s="8">
        <f t="shared" si="15"/>
        <v>6020625</v>
      </c>
      <c r="K252" s="9">
        <v>46021</v>
      </c>
      <c r="L252" s="10">
        <f>Table1[[#This Row],[Profit]]/Table1[[#This Row],[Sales]]</f>
        <v>0.2</v>
      </c>
    </row>
    <row r="253" spans="1:12">
      <c r="A253" t="s">
        <v>19</v>
      </c>
      <c r="B253" t="s">
        <v>88</v>
      </c>
      <c r="C253" t="s">
        <v>37</v>
      </c>
      <c r="D253" t="s">
        <v>14</v>
      </c>
      <c r="E253" s="7">
        <v>158</v>
      </c>
      <c r="F253" s="8">
        <v>6200</v>
      </c>
      <c r="G253" s="8">
        <f t="shared" si="12"/>
        <v>7750</v>
      </c>
      <c r="H253" s="8">
        <f t="shared" si="13"/>
        <v>1224500</v>
      </c>
      <c r="I253" s="8">
        <f t="shared" si="14"/>
        <v>979600</v>
      </c>
      <c r="J253" s="8">
        <f t="shared" si="15"/>
        <v>244900</v>
      </c>
      <c r="K253" s="9">
        <v>46022</v>
      </c>
      <c r="L253" s="10">
        <f>Table1[[#This Row],[Profit]]/Table1[[#This Row],[Sales]]</f>
        <v>0.2</v>
      </c>
    </row>
    <row r="254" spans="1:12">
      <c r="A254" t="s">
        <v>29</v>
      </c>
      <c r="B254" t="s">
        <v>26</v>
      </c>
      <c r="C254" t="s">
        <v>68</v>
      </c>
      <c r="D254" t="s">
        <v>14</v>
      </c>
      <c r="E254" s="7">
        <v>364</v>
      </c>
      <c r="F254" s="8">
        <v>7500</v>
      </c>
      <c r="G254" s="8">
        <f t="shared" si="12"/>
        <v>9375</v>
      </c>
      <c r="H254" s="8">
        <f t="shared" si="13"/>
        <v>3412500</v>
      </c>
      <c r="I254" s="8">
        <f t="shared" si="14"/>
        <v>2730000</v>
      </c>
      <c r="J254" s="8">
        <f t="shared" si="15"/>
        <v>682500</v>
      </c>
      <c r="K254" s="9">
        <v>45658</v>
      </c>
      <c r="L254" s="10">
        <f>Table1[[#This Row],[Profit]]/Table1[[#This Row],[Sales]]</f>
        <v>0.2</v>
      </c>
    </row>
    <row r="255" spans="1:12">
      <c r="A255" t="s">
        <v>29</v>
      </c>
      <c r="B255" t="s">
        <v>51</v>
      </c>
      <c r="C255" t="s">
        <v>34</v>
      </c>
      <c r="D255" t="s">
        <v>14</v>
      </c>
      <c r="E255" s="7">
        <v>280</v>
      </c>
      <c r="F255" s="8">
        <v>17600</v>
      </c>
      <c r="G255" s="8">
        <f t="shared" si="12"/>
        <v>22000</v>
      </c>
      <c r="H255" s="8">
        <f t="shared" si="13"/>
        <v>6160000</v>
      </c>
      <c r="I255" s="8">
        <f t="shared" si="14"/>
        <v>4928000</v>
      </c>
      <c r="J255" s="8">
        <f t="shared" si="15"/>
        <v>1232000</v>
      </c>
      <c r="K255" s="9">
        <v>45658</v>
      </c>
      <c r="L255" s="10">
        <f>Table1[[#This Row],[Profit]]/Table1[[#This Row],[Sales]]</f>
        <v>0.2</v>
      </c>
    </row>
    <row r="256" spans="1:12">
      <c r="A256" t="s">
        <v>29</v>
      </c>
      <c r="B256" t="s">
        <v>77</v>
      </c>
      <c r="C256" t="s">
        <v>31</v>
      </c>
      <c r="D256" t="s">
        <v>14</v>
      </c>
      <c r="E256" s="7">
        <v>1715</v>
      </c>
      <c r="F256" s="8">
        <v>9200</v>
      </c>
      <c r="G256" s="8">
        <f t="shared" si="12"/>
        <v>11500</v>
      </c>
      <c r="H256" s="8">
        <f t="shared" si="13"/>
        <v>19722500</v>
      </c>
      <c r="I256" s="8">
        <f t="shared" si="14"/>
        <v>15778000</v>
      </c>
      <c r="J256" s="8">
        <f t="shared" si="15"/>
        <v>3944500</v>
      </c>
      <c r="K256" s="9">
        <v>45660</v>
      </c>
      <c r="L256" s="10">
        <f>Table1[[#This Row],[Profit]]/Table1[[#This Row],[Sales]]</f>
        <v>0.2</v>
      </c>
    </row>
    <row r="257" spans="1:12">
      <c r="A257" t="s">
        <v>29</v>
      </c>
      <c r="B257" t="s">
        <v>26</v>
      </c>
      <c r="C257" t="s">
        <v>17</v>
      </c>
      <c r="D257" t="s">
        <v>14</v>
      </c>
      <c r="E257" s="7">
        <v>1771</v>
      </c>
      <c r="F257" s="8">
        <v>5100</v>
      </c>
      <c r="G257" s="8">
        <f t="shared" si="12"/>
        <v>6375</v>
      </c>
      <c r="H257" s="8">
        <f t="shared" si="13"/>
        <v>11290125</v>
      </c>
      <c r="I257" s="8">
        <f t="shared" si="14"/>
        <v>9032100</v>
      </c>
      <c r="J257" s="8">
        <f t="shared" si="15"/>
        <v>2258025</v>
      </c>
      <c r="K257" s="9">
        <v>45660</v>
      </c>
      <c r="L257" s="10">
        <f>Table1[[#This Row],[Profit]]/Table1[[#This Row],[Sales]]</f>
        <v>0.2</v>
      </c>
    </row>
    <row r="258" spans="1:12">
      <c r="A258" t="s">
        <v>29</v>
      </c>
      <c r="B258" t="s">
        <v>88</v>
      </c>
      <c r="C258" t="s">
        <v>13</v>
      </c>
      <c r="D258" t="s">
        <v>14</v>
      </c>
      <c r="E258" s="7">
        <v>1431</v>
      </c>
      <c r="F258" s="8">
        <v>11500</v>
      </c>
      <c r="G258" s="8">
        <f t="shared" ref="G258:G321" si="16">ROUNDDOWN(F258/100,0)*100*1.25</f>
        <v>14375</v>
      </c>
      <c r="H258" s="8">
        <f t="shared" ref="H258:H321" si="17">E258*G258</f>
        <v>20570625</v>
      </c>
      <c r="I258" s="8">
        <f t="shared" ref="I258:I321" si="18">E258*F258</f>
        <v>16456500</v>
      </c>
      <c r="J258" s="8">
        <f t="shared" ref="J258:J321" si="19">H258-I258</f>
        <v>4114125</v>
      </c>
      <c r="K258" s="9">
        <v>45661</v>
      </c>
      <c r="L258" s="10">
        <f>Table1[[#This Row],[Profit]]/Table1[[#This Row],[Sales]]</f>
        <v>0.2</v>
      </c>
    </row>
    <row r="259" spans="1:12">
      <c r="A259" t="s">
        <v>29</v>
      </c>
      <c r="B259" t="s">
        <v>77</v>
      </c>
      <c r="C259" t="s">
        <v>13</v>
      </c>
      <c r="D259" t="s">
        <v>14</v>
      </c>
      <c r="E259" s="7">
        <v>270</v>
      </c>
      <c r="F259" s="8">
        <v>12200</v>
      </c>
      <c r="G259" s="8">
        <f t="shared" si="16"/>
        <v>15250</v>
      </c>
      <c r="H259" s="8">
        <f t="shared" si="17"/>
        <v>4117500</v>
      </c>
      <c r="I259" s="8">
        <f t="shared" si="18"/>
        <v>3294000</v>
      </c>
      <c r="J259" s="8">
        <f t="shared" si="19"/>
        <v>823500</v>
      </c>
      <c r="K259" s="9">
        <v>45663</v>
      </c>
      <c r="L259" s="10">
        <f>Table1[[#This Row],[Profit]]/Table1[[#This Row],[Sales]]</f>
        <v>0.2</v>
      </c>
    </row>
    <row r="260" spans="1:12">
      <c r="A260" t="s">
        <v>29</v>
      </c>
      <c r="B260" t="s">
        <v>62</v>
      </c>
      <c r="C260" t="s">
        <v>63</v>
      </c>
      <c r="D260" t="s">
        <v>14</v>
      </c>
      <c r="E260" s="7">
        <v>2045</v>
      </c>
      <c r="F260" s="8">
        <v>20700</v>
      </c>
      <c r="G260" s="8">
        <f t="shared" si="16"/>
        <v>25875</v>
      </c>
      <c r="H260" s="8">
        <f t="shared" si="17"/>
        <v>52914375</v>
      </c>
      <c r="I260" s="8">
        <f t="shared" si="18"/>
        <v>42331500</v>
      </c>
      <c r="J260" s="8">
        <f t="shared" si="19"/>
        <v>10582875</v>
      </c>
      <c r="K260" s="9">
        <v>45663</v>
      </c>
      <c r="L260" s="10">
        <f>Table1[[#This Row],[Profit]]/Table1[[#This Row],[Sales]]</f>
        <v>0.2</v>
      </c>
    </row>
    <row r="261" spans="1:12">
      <c r="A261" t="s">
        <v>29</v>
      </c>
      <c r="B261" t="s">
        <v>97</v>
      </c>
      <c r="C261" t="s">
        <v>37</v>
      </c>
      <c r="D261" t="s">
        <v>14</v>
      </c>
      <c r="E261" s="7">
        <v>327</v>
      </c>
      <c r="F261" s="8">
        <v>6600</v>
      </c>
      <c r="G261" s="8">
        <f t="shared" si="16"/>
        <v>8250</v>
      </c>
      <c r="H261" s="8">
        <f t="shared" si="17"/>
        <v>2697750</v>
      </c>
      <c r="I261" s="8">
        <f t="shared" si="18"/>
        <v>2158200</v>
      </c>
      <c r="J261" s="8">
        <f t="shared" si="19"/>
        <v>539550</v>
      </c>
      <c r="K261" s="9">
        <v>45668</v>
      </c>
      <c r="L261" s="10">
        <f>Table1[[#This Row],[Profit]]/Table1[[#This Row],[Sales]]</f>
        <v>0.2</v>
      </c>
    </row>
    <row r="262" spans="1:12">
      <c r="A262" t="s">
        <v>29</v>
      </c>
      <c r="B262" t="s">
        <v>36</v>
      </c>
      <c r="C262" t="s">
        <v>21</v>
      </c>
      <c r="D262" t="s">
        <v>14</v>
      </c>
      <c r="E262" s="7">
        <v>1880</v>
      </c>
      <c r="F262" s="8">
        <v>22700</v>
      </c>
      <c r="G262" s="8">
        <f t="shared" si="16"/>
        <v>28375</v>
      </c>
      <c r="H262" s="8">
        <f t="shared" si="17"/>
        <v>53345000</v>
      </c>
      <c r="I262" s="8">
        <f t="shared" si="18"/>
        <v>42676000</v>
      </c>
      <c r="J262" s="8">
        <f t="shared" si="19"/>
        <v>10669000</v>
      </c>
      <c r="K262" s="9">
        <v>45669</v>
      </c>
      <c r="L262" s="10">
        <f>Table1[[#This Row],[Profit]]/Table1[[#This Row],[Sales]]</f>
        <v>0.2</v>
      </c>
    </row>
    <row r="263" spans="1:12">
      <c r="A263" t="s">
        <v>29</v>
      </c>
      <c r="B263" t="s">
        <v>88</v>
      </c>
      <c r="C263" t="s">
        <v>63</v>
      </c>
      <c r="D263" t="s">
        <v>14</v>
      </c>
      <c r="E263" s="7">
        <v>2435</v>
      </c>
      <c r="F263" s="8">
        <v>23400</v>
      </c>
      <c r="G263" s="8">
        <f t="shared" si="16"/>
        <v>29250</v>
      </c>
      <c r="H263" s="8">
        <f t="shared" si="17"/>
        <v>71223750</v>
      </c>
      <c r="I263" s="8">
        <f t="shared" si="18"/>
        <v>56979000</v>
      </c>
      <c r="J263" s="8">
        <f t="shared" si="19"/>
        <v>14244750</v>
      </c>
      <c r="K263" s="9">
        <v>45670</v>
      </c>
      <c r="L263" s="10">
        <f>Table1[[#This Row],[Profit]]/Table1[[#This Row],[Sales]]</f>
        <v>0.2</v>
      </c>
    </row>
    <row r="264" spans="1:12">
      <c r="A264" t="s">
        <v>29</v>
      </c>
      <c r="B264" t="s">
        <v>51</v>
      </c>
      <c r="C264" t="s">
        <v>17</v>
      </c>
      <c r="D264" t="s">
        <v>14</v>
      </c>
      <c r="E264" s="7">
        <v>927</v>
      </c>
      <c r="F264" s="8">
        <v>11200</v>
      </c>
      <c r="G264" s="8">
        <f t="shared" si="16"/>
        <v>14000</v>
      </c>
      <c r="H264" s="8">
        <f t="shared" si="17"/>
        <v>12978000</v>
      </c>
      <c r="I264" s="8">
        <f t="shared" si="18"/>
        <v>10382400</v>
      </c>
      <c r="J264" s="8">
        <f t="shared" si="19"/>
        <v>2595600</v>
      </c>
      <c r="K264" s="9">
        <v>45671</v>
      </c>
      <c r="L264" s="10">
        <f>Table1[[#This Row],[Profit]]/Table1[[#This Row],[Sales]]</f>
        <v>0.2</v>
      </c>
    </row>
    <row r="265" spans="1:12">
      <c r="A265" t="s">
        <v>29</v>
      </c>
      <c r="B265" t="s">
        <v>26</v>
      </c>
      <c r="C265" t="s">
        <v>21</v>
      </c>
      <c r="D265" t="s">
        <v>14</v>
      </c>
      <c r="E265" s="7">
        <v>2765</v>
      </c>
      <c r="F265" s="8">
        <v>11000</v>
      </c>
      <c r="G265" s="8">
        <f t="shared" si="16"/>
        <v>13750</v>
      </c>
      <c r="H265" s="8">
        <f t="shared" si="17"/>
        <v>38018750</v>
      </c>
      <c r="I265" s="8">
        <f t="shared" si="18"/>
        <v>30415000</v>
      </c>
      <c r="J265" s="8">
        <f t="shared" si="19"/>
        <v>7603750</v>
      </c>
      <c r="K265" s="9">
        <v>45671</v>
      </c>
      <c r="L265" s="10">
        <f>Table1[[#This Row],[Profit]]/Table1[[#This Row],[Sales]]</f>
        <v>0.2</v>
      </c>
    </row>
    <row r="266" spans="1:12">
      <c r="A266" t="s">
        <v>29</v>
      </c>
      <c r="B266" t="s">
        <v>77</v>
      </c>
      <c r="C266" t="s">
        <v>79</v>
      </c>
      <c r="D266" t="s">
        <v>14</v>
      </c>
      <c r="E266" s="7">
        <v>1702</v>
      </c>
      <c r="F266" s="8">
        <v>18100</v>
      </c>
      <c r="G266" s="8">
        <f t="shared" si="16"/>
        <v>22625</v>
      </c>
      <c r="H266" s="8">
        <f t="shared" si="17"/>
        <v>38507750</v>
      </c>
      <c r="I266" s="8">
        <f t="shared" si="18"/>
        <v>30806200</v>
      </c>
      <c r="J266" s="8">
        <f t="shared" si="19"/>
        <v>7701550</v>
      </c>
      <c r="K266" s="9">
        <v>45672</v>
      </c>
      <c r="L266" s="10">
        <f>Table1[[#This Row],[Profit]]/Table1[[#This Row],[Sales]]</f>
        <v>0.2</v>
      </c>
    </row>
    <row r="267" spans="1:12">
      <c r="A267" t="s">
        <v>29</v>
      </c>
      <c r="B267" t="s">
        <v>97</v>
      </c>
      <c r="C267" t="s">
        <v>37</v>
      </c>
      <c r="D267" t="s">
        <v>14</v>
      </c>
      <c r="E267" s="7">
        <v>883</v>
      </c>
      <c r="F267" s="8">
        <v>20100</v>
      </c>
      <c r="G267" s="8">
        <f t="shared" si="16"/>
        <v>25125</v>
      </c>
      <c r="H267" s="8">
        <f t="shared" si="17"/>
        <v>22185375</v>
      </c>
      <c r="I267" s="8">
        <f t="shared" si="18"/>
        <v>17748300</v>
      </c>
      <c r="J267" s="8">
        <f t="shared" si="19"/>
        <v>4437075</v>
      </c>
      <c r="K267" s="9">
        <v>45673</v>
      </c>
      <c r="L267" s="10">
        <f>Table1[[#This Row],[Profit]]/Table1[[#This Row],[Sales]]</f>
        <v>0.2</v>
      </c>
    </row>
    <row r="268" spans="1:12">
      <c r="A268" t="s">
        <v>29</v>
      </c>
      <c r="B268" t="s">
        <v>26</v>
      </c>
      <c r="C268" t="s">
        <v>21</v>
      </c>
      <c r="D268" t="s">
        <v>14</v>
      </c>
      <c r="E268" s="7">
        <v>898</v>
      </c>
      <c r="F268" s="8">
        <v>18600</v>
      </c>
      <c r="G268" s="8">
        <f t="shared" si="16"/>
        <v>23250</v>
      </c>
      <c r="H268" s="8">
        <f t="shared" si="17"/>
        <v>20878500</v>
      </c>
      <c r="I268" s="8">
        <f t="shared" si="18"/>
        <v>16702800</v>
      </c>
      <c r="J268" s="8">
        <f t="shared" si="19"/>
        <v>4175700</v>
      </c>
      <c r="K268" s="9">
        <v>45674</v>
      </c>
      <c r="L268" s="10">
        <f>Table1[[#This Row],[Profit]]/Table1[[#This Row],[Sales]]</f>
        <v>0.2</v>
      </c>
    </row>
    <row r="269" spans="1:12">
      <c r="A269" t="s">
        <v>29</v>
      </c>
      <c r="B269" t="s">
        <v>97</v>
      </c>
      <c r="C269" t="s">
        <v>79</v>
      </c>
      <c r="D269" t="s">
        <v>14</v>
      </c>
      <c r="E269" s="7">
        <v>1899</v>
      </c>
      <c r="F269" s="8">
        <v>8100</v>
      </c>
      <c r="G269" s="8">
        <f t="shared" si="16"/>
        <v>10125</v>
      </c>
      <c r="H269" s="8">
        <f t="shared" si="17"/>
        <v>19227375</v>
      </c>
      <c r="I269" s="8">
        <f t="shared" si="18"/>
        <v>15381900</v>
      </c>
      <c r="J269" s="8">
        <f t="shared" si="19"/>
        <v>3845475</v>
      </c>
      <c r="K269" s="9">
        <v>45674</v>
      </c>
      <c r="L269" s="10">
        <f>Table1[[#This Row],[Profit]]/Table1[[#This Row],[Sales]]</f>
        <v>0.2</v>
      </c>
    </row>
    <row r="270" spans="1:12">
      <c r="A270" t="s">
        <v>29</v>
      </c>
      <c r="B270" t="s">
        <v>88</v>
      </c>
      <c r="C270" t="s">
        <v>21</v>
      </c>
      <c r="D270" t="s">
        <v>14</v>
      </c>
      <c r="E270" s="7">
        <v>1462</v>
      </c>
      <c r="F270" s="8">
        <v>22600</v>
      </c>
      <c r="G270" s="8">
        <f t="shared" si="16"/>
        <v>28250</v>
      </c>
      <c r="H270" s="8">
        <f t="shared" si="17"/>
        <v>41301500</v>
      </c>
      <c r="I270" s="8">
        <f t="shared" si="18"/>
        <v>33041200</v>
      </c>
      <c r="J270" s="8">
        <f t="shared" si="19"/>
        <v>8260300</v>
      </c>
      <c r="K270" s="9">
        <v>45677</v>
      </c>
      <c r="L270" s="10">
        <f>Table1[[#This Row],[Profit]]/Table1[[#This Row],[Sales]]</f>
        <v>0.2</v>
      </c>
    </row>
    <row r="271" spans="1:12">
      <c r="A271" t="s">
        <v>29</v>
      </c>
      <c r="B271" t="s">
        <v>51</v>
      </c>
      <c r="C271" t="s">
        <v>37</v>
      </c>
      <c r="D271" t="s">
        <v>14</v>
      </c>
      <c r="E271" s="7">
        <v>2831</v>
      </c>
      <c r="F271" s="8">
        <v>20800</v>
      </c>
      <c r="G271" s="8">
        <f t="shared" si="16"/>
        <v>26000</v>
      </c>
      <c r="H271" s="8">
        <f t="shared" si="17"/>
        <v>73606000</v>
      </c>
      <c r="I271" s="8">
        <f t="shared" si="18"/>
        <v>58884800</v>
      </c>
      <c r="J271" s="8">
        <f t="shared" si="19"/>
        <v>14721200</v>
      </c>
      <c r="K271" s="9">
        <v>45677</v>
      </c>
      <c r="L271" s="10">
        <f>Table1[[#This Row],[Profit]]/Table1[[#This Row],[Sales]]</f>
        <v>0.2</v>
      </c>
    </row>
    <row r="272" spans="1:12">
      <c r="A272" t="s">
        <v>29</v>
      </c>
      <c r="B272" t="s">
        <v>77</v>
      </c>
      <c r="C272" t="s">
        <v>21</v>
      </c>
      <c r="D272" t="s">
        <v>14</v>
      </c>
      <c r="E272" s="7">
        <v>1125</v>
      </c>
      <c r="F272" s="8">
        <v>20100</v>
      </c>
      <c r="G272" s="8">
        <f t="shared" si="16"/>
        <v>25125</v>
      </c>
      <c r="H272" s="8">
        <f t="shared" si="17"/>
        <v>28265625</v>
      </c>
      <c r="I272" s="8">
        <f t="shared" si="18"/>
        <v>22612500</v>
      </c>
      <c r="J272" s="8">
        <f t="shared" si="19"/>
        <v>5653125</v>
      </c>
      <c r="K272" s="9">
        <v>45677</v>
      </c>
      <c r="L272" s="10">
        <f>Table1[[#This Row],[Profit]]/Table1[[#This Row],[Sales]]</f>
        <v>0.2</v>
      </c>
    </row>
    <row r="273" spans="1:12">
      <c r="A273" t="s">
        <v>29</v>
      </c>
      <c r="B273" t="s">
        <v>88</v>
      </c>
      <c r="C273" t="s">
        <v>31</v>
      </c>
      <c r="D273" t="s">
        <v>14</v>
      </c>
      <c r="E273" s="7">
        <v>1730</v>
      </c>
      <c r="F273" s="8">
        <v>4000</v>
      </c>
      <c r="G273" s="8">
        <f t="shared" si="16"/>
        <v>5000</v>
      </c>
      <c r="H273" s="8">
        <f t="shared" si="17"/>
        <v>8650000</v>
      </c>
      <c r="I273" s="8">
        <f t="shared" si="18"/>
        <v>6920000</v>
      </c>
      <c r="J273" s="8">
        <f t="shared" si="19"/>
        <v>1730000</v>
      </c>
      <c r="K273" s="9">
        <v>45678</v>
      </c>
      <c r="L273" s="10">
        <f>Table1[[#This Row],[Profit]]/Table1[[#This Row],[Sales]]</f>
        <v>0.2</v>
      </c>
    </row>
    <row r="274" spans="1:12">
      <c r="A274" t="s">
        <v>29</v>
      </c>
      <c r="B274" t="s">
        <v>51</v>
      </c>
      <c r="C274" t="s">
        <v>17</v>
      </c>
      <c r="D274" t="s">
        <v>14</v>
      </c>
      <c r="E274" s="7">
        <v>2693</v>
      </c>
      <c r="F274" s="8">
        <v>6700</v>
      </c>
      <c r="G274" s="8">
        <f t="shared" si="16"/>
        <v>8375</v>
      </c>
      <c r="H274" s="8">
        <f t="shared" si="17"/>
        <v>22553875</v>
      </c>
      <c r="I274" s="8">
        <f t="shared" si="18"/>
        <v>18043100</v>
      </c>
      <c r="J274" s="8">
        <f t="shared" si="19"/>
        <v>4510775</v>
      </c>
      <c r="K274" s="9">
        <v>45679</v>
      </c>
      <c r="L274" s="10">
        <f>Table1[[#This Row],[Profit]]/Table1[[#This Row],[Sales]]</f>
        <v>0.2</v>
      </c>
    </row>
    <row r="275" spans="1:12">
      <c r="A275" t="s">
        <v>29</v>
      </c>
      <c r="B275" t="s">
        <v>26</v>
      </c>
      <c r="C275" t="s">
        <v>68</v>
      </c>
      <c r="D275" t="s">
        <v>14</v>
      </c>
      <c r="E275" s="7">
        <v>2927</v>
      </c>
      <c r="F275" s="8">
        <v>15400</v>
      </c>
      <c r="G275" s="8">
        <f t="shared" si="16"/>
        <v>19250</v>
      </c>
      <c r="H275" s="8">
        <f t="shared" si="17"/>
        <v>56344750</v>
      </c>
      <c r="I275" s="8">
        <f t="shared" si="18"/>
        <v>45075800</v>
      </c>
      <c r="J275" s="8">
        <f t="shared" si="19"/>
        <v>11268950</v>
      </c>
      <c r="K275" s="9">
        <v>45679</v>
      </c>
      <c r="L275" s="10">
        <f>Table1[[#This Row],[Profit]]/Table1[[#This Row],[Sales]]</f>
        <v>0.2</v>
      </c>
    </row>
    <row r="276" spans="1:12">
      <c r="A276" t="s">
        <v>29</v>
      </c>
      <c r="B276" t="s">
        <v>98</v>
      </c>
      <c r="C276" t="s">
        <v>31</v>
      </c>
      <c r="D276" t="s">
        <v>14</v>
      </c>
      <c r="E276" s="7">
        <v>1136</v>
      </c>
      <c r="F276" s="8">
        <v>16600</v>
      </c>
      <c r="G276" s="8">
        <f t="shared" si="16"/>
        <v>20750</v>
      </c>
      <c r="H276" s="8">
        <f t="shared" si="17"/>
        <v>23572000</v>
      </c>
      <c r="I276" s="8">
        <f t="shared" si="18"/>
        <v>18857600</v>
      </c>
      <c r="J276" s="8">
        <f t="shared" si="19"/>
        <v>4714400</v>
      </c>
      <c r="K276" s="9">
        <v>45680</v>
      </c>
      <c r="L276" s="10">
        <f>Table1[[#This Row],[Profit]]/Table1[[#This Row],[Sales]]</f>
        <v>0.2</v>
      </c>
    </row>
    <row r="277" spans="1:12">
      <c r="A277" t="s">
        <v>29</v>
      </c>
      <c r="B277" t="s">
        <v>39</v>
      </c>
      <c r="C277" t="s">
        <v>13</v>
      </c>
      <c r="D277" t="s">
        <v>14</v>
      </c>
      <c r="E277" s="7">
        <v>1896</v>
      </c>
      <c r="F277" s="8">
        <v>11000</v>
      </c>
      <c r="G277" s="8">
        <f t="shared" si="16"/>
        <v>13750</v>
      </c>
      <c r="H277" s="8">
        <f t="shared" si="17"/>
        <v>26070000</v>
      </c>
      <c r="I277" s="8">
        <f t="shared" si="18"/>
        <v>20856000</v>
      </c>
      <c r="J277" s="8">
        <f t="shared" si="19"/>
        <v>5214000</v>
      </c>
      <c r="K277" s="9">
        <v>45681</v>
      </c>
      <c r="L277" s="10">
        <f>Table1[[#This Row],[Profit]]/Table1[[#This Row],[Sales]]</f>
        <v>0.2</v>
      </c>
    </row>
    <row r="278" spans="1:12">
      <c r="A278" t="s">
        <v>29</v>
      </c>
      <c r="B278" t="s">
        <v>39</v>
      </c>
      <c r="C278" t="s">
        <v>31</v>
      </c>
      <c r="D278" t="s">
        <v>14</v>
      </c>
      <c r="E278" s="7">
        <v>2504</v>
      </c>
      <c r="F278" s="8">
        <v>18300</v>
      </c>
      <c r="G278" s="8">
        <f t="shared" si="16"/>
        <v>22875</v>
      </c>
      <c r="H278" s="8">
        <f t="shared" si="17"/>
        <v>57279000</v>
      </c>
      <c r="I278" s="8">
        <f t="shared" si="18"/>
        <v>45823200</v>
      </c>
      <c r="J278" s="8">
        <f t="shared" si="19"/>
        <v>11455800</v>
      </c>
      <c r="K278" s="9">
        <v>45682</v>
      </c>
      <c r="L278" s="10">
        <f>Table1[[#This Row],[Profit]]/Table1[[#This Row],[Sales]]</f>
        <v>0.2</v>
      </c>
    </row>
    <row r="279" spans="1:12">
      <c r="A279" t="s">
        <v>29</v>
      </c>
      <c r="B279" t="s">
        <v>62</v>
      </c>
      <c r="C279" t="s">
        <v>31</v>
      </c>
      <c r="D279" t="s">
        <v>14</v>
      </c>
      <c r="E279" s="7">
        <v>152</v>
      </c>
      <c r="F279" s="8">
        <v>16500</v>
      </c>
      <c r="G279" s="8">
        <f t="shared" si="16"/>
        <v>20625</v>
      </c>
      <c r="H279" s="8">
        <f t="shared" si="17"/>
        <v>3135000</v>
      </c>
      <c r="I279" s="8">
        <f t="shared" si="18"/>
        <v>2508000</v>
      </c>
      <c r="J279" s="8">
        <f t="shared" si="19"/>
        <v>627000</v>
      </c>
      <c r="K279" s="9">
        <v>45684</v>
      </c>
      <c r="L279" s="10">
        <f>Table1[[#This Row],[Profit]]/Table1[[#This Row],[Sales]]</f>
        <v>0.2</v>
      </c>
    </row>
    <row r="280" spans="1:12">
      <c r="A280" t="s">
        <v>29</v>
      </c>
      <c r="B280" t="s">
        <v>51</v>
      </c>
      <c r="C280" t="s">
        <v>79</v>
      </c>
      <c r="D280" t="s">
        <v>14</v>
      </c>
      <c r="E280" s="7">
        <v>2806</v>
      </c>
      <c r="F280" s="8">
        <v>19600</v>
      </c>
      <c r="G280" s="8">
        <f t="shared" si="16"/>
        <v>24500</v>
      </c>
      <c r="H280" s="8">
        <f t="shared" si="17"/>
        <v>68747000</v>
      </c>
      <c r="I280" s="8">
        <f t="shared" si="18"/>
        <v>54997600</v>
      </c>
      <c r="J280" s="8">
        <f t="shared" si="19"/>
        <v>13749400</v>
      </c>
      <c r="K280" s="9">
        <v>45684</v>
      </c>
      <c r="L280" s="10">
        <f>Table1[[#This Row],[Profit]]/Table1[[#This Row],[Sales]]</f>
        <v>0.2</v>
      </c>
    </row>
    <row r="281" spans="1:12">
      <c r="A281" t="s">
        <v>29</v>
      </c>
      <c r="B281" t="s">
        <v>97</v>
      </c>
      <c r="C281" t="s">
        <v>17</v>
      </c>
      <c r="D281" t="s">
        <v>14</v>
      </c>
      <c r="E281" s="7">
        <v>2045</v>
      </c>
      <c r="F281" s="8">
        <v>16100</v>
      </c>
      <c r="G281" s="8">
        <f t="shared" si="16"/>
        <v>20125</v>
      </c>
      <c r="H281" s="8">
        <f t="shared" si="17"/>
        <v>41155625</v>
      </c>
      <c r="I281" s="8">
        <f t="shared" si="18"/>
        <v>32924500</v>
      </c>
      <c r="J281" s="8">
        <f t="shared" si="19"/>
        <v>8231125</v>
      </c>
      <c r="K281" s="9">
        <v>45687</v>
      </c>
      <c r="L281" s="10">
        <f>Table1[[#This Row],[Profit]]/Table1[[#This Row],[Sales]]</f>
        <v>0.2</v>
      </c>
    </row>
    <row r="282" spans="1:12">
      <c r="A282" t="s">
        <v>29</v>
      </c>
      <c r="B282" t="s">
        <v>36</v>
      </c>
      <c r="C282" t="s">
        <v>34</v>
      </c>
      <c r="D282" t="s">
        <v>14</v>
      </c>
      <c r="E282" s="7">
        <v>2077</v>
      </c>
      <c r="F282" s="8">
        <v>6800</v>
      </c>
      <c r="G282" s="8">
        <f t="shared" si="16"/>
        <v>8500</v>
      </c>
      <c r="H282" s="8">
        <f t="shared" si="17"/>
        <v>17654500</v>
      </c>
      <c r="I282" s="8">
        <f t="shared" si="18"/>
        <v>14123600</v>
      </c>
      <c r="J282" s="8">
        <f t="shared" si="19"/>
        <v>3530900</v>
      </c>
      <c r="K282" s="9">
        <v>45687</v>
      </c>
      <c r="L282" s="10">
        <f>Table1[[#This Row],[Profit]]/Table1[[#This Row],[Sales]]</f>
        <v>0.2</v>
      </c>
    </row>
    <row r="283" spans="1:12">
      <c r="A283" t="s">
        <v>29</v>
      </c>
      <c r="B283" t="s">
        <v>97</v>
      </c>
      <c r="C283" t="s">
        <v>13</v>
      </c>
      <c r="D283" t="s">
        <v>14</v>
      </c>
      <c r="E283" s="7">
        <v>914</v>
      </c>
      <c r="F283" s="8">
        <v>6500</v>
      </c>
      <c r="G283" s="8">
        <f t="shared" si="16"/>
        <v>8125</v>
      </c>
      <c r="H283" s="8">
        <f t="shared" si="17"/>
        <v>7426250</v>
      </c>
      <c r="I283" s="8">
        <f t="shared" si="18"/>
        <v>5941000</v>
      </c>
      <c r="J283" s="8">
        <f t="shared" si="19"/>
        <v>1485250</v>
      </c>
      <c r="K283" s="9">
        <v>45688</v>
      </c>
      <c r="L283" s="10">
        <f>Table1[[#This Row],[Profit]]/Table1[[#This Row],[Sales]]</f>
        <v>0.2</v>
      </c>
    </row>
    <row r="284" spans="1:12">
      <c r="A284" t="s">
        <v>29</v>
      </c>
      <c r="B284" t="s">
        <v>62</v>
      </c>
      <c r="C284" t="s">
        <v>34</v>
      </c>
      <c r="D284" t="s">
        <v>14</v>
      </c>
      <c r="E284" s="7">
        <v>1576</v>
      </c>
      <c r="F284" s="8">
        <v>21500</v>
      </c>
      <c r="G284" s="8">
        <f t="shared" si="16"/>
        <v>26875</v>
      </c>
      <c r="H284" s="8">
        <f t="shared" si="17"/>
        <v>42355000</v>
      </c>
      <c r="I284" s="8">
        <f t="shared" si="18"/>
        <v>33884000</v>
      </c>
      <c r="J284" s="8">
        <f t="shared" si="19"/>
        <v>8471000</v>
      </c>
      <c r="K284" s="9">
        <v>45689</v>
      </c>
      <c r="L284" s="10">
        <f>Table1[[#This Row],[Profit]]/Table1[[#This Row],[Sales]]</f>
        <v>0.2</v>
      </c>
    </row>
    <row r="285" spans="1:12">
      <c r="A285" t="s">
        <v>29</v>
      </c>
      <c r="B285" t="s">
        <v>62</v>
      </c>
      <c r="C285" t="s">
        <v>31</v>
      </c>
      <c r="D285" t="s">
        <v>14</v>
      </c>
      <c r="E285" s="7">
        <v>1040</v>
      </c>
      <c r="F285" s="8">
        <v>21600</v>
      </c>
      <c r="G285" s="8">
        <f t="shared" si="16"/>
        <v>27000</v>
      </c>
      <c r="H285" s="8">
        <f t="shared" si="17"/>
        <v>28080000</v>
      </c>
      <c r="I285" s="8">
        <f t="shared" si="18"/>
        <v>22464000</v>
      </c>
      <c r="J285" s="8">
        <f t="shared" si="19"/>
        <v>5616000</v>
      </c>
      <c r="K285" s="9">
        <v>45689</v>
      </c>
      <c r="L285" s="10">
        <f>Table1[[#This Row],[Profit]]/Table1[[#This Row],[Sales]]</f>
        <v>0.2</v>
      </c>
    </row>
    <row r="286" spans="1:12">
      <c r="A286" t="s">
        <v>29</v>
      </c>
      <c r="B286" t="s">
        <v>36</v>
      </c>
      <c r="C286" t="s">
        <v>31</v>
      </c>
      <c r="D286" t="s">
        <v>14</v>
      </c>
      <c r="E286" s="7">
        <v>210</v>
      </c>
      <c r="F286" s="8">
        <v>24400</v>
      </c>
      <c r="G286" s="8">
        <f t="shared" si="16"/>
        <v>30500</v>
      </c>
      <c r="H286" s="8">
        <f t="shared" si="17"/>
        <v>6405000</v>
      </c>
      <c r="I286" s="8">
        <f t="shared" si="18"/>
        <v>5124000</v>
      </c>
      <c r="J286" s="8">
        <f t="shared" si="19"/>
        <v>1281000</v>
      </c>
      <c r="K286" s="9">
        <v>45693</v>
      </c>
      <c r="L286" s="10">
        <f>Table1[[#This Row],[Profit]]/Table1[[#This Row],[Sales]]</f>
        <v>0.2</v>
      </c>
    </row>
    <row r="287" spans="1:12">
      <c r="A287" t="s">
        <v>29</v>
      </c>
      <c r="B287" t="s">
        <v>36</v>
      </c>
      <c r="C287" t="s">
        <v>79</v>
      </c>
      <c r="D287" t="s">
        <v>14</v>
      </c>
      <c r="E287" s="7">
        <v>106</v>
      </c>
      <c r="F287" s="8">
        <v>23200</v>
      </c>
      <c r="G287" s="8">
        <f t="shared" si="16"/>
        <v>29000</v>
      </c>
      <c r="H287" s="8">
        <f t="shared" si="17"/>
        <v>3074000</v>
      </c>
      <c r="I287" s="8">
        <f t="shared" si="18"/>
        <v>2459200</v>
      </c>
      <c r="J287" s="8">
        <f t="shared" si="19"/>
        <v>614800</v>
      </c>
      <c r="K287" s="9">
        <v>45697</v>
      </c>
      <c r="L287" s="10">
        <f>Table1[[#This Row],[Profit]]/Table1[[#This Row],[Sales]]</f>
        <v>0.2</v>
      </c>
    </row>
    <row r="288" spans="1:12">
      <c r="A288" t="s">
        <v>29</v>
      </c>
      <c r="B288" t="s">
        <v>88</v>
      </c>
      <c r="C288" t="s">
        <v>31</v>
      </c>
      <c r="D288" t="s">
        <v>14</v>
      </c>
      <c r="E288" s="7">
        <v>1436</v>
      </c>
      <c r="F288" s="8">
        <v>12200</v>
      </c>
      <c r="G288" s="8">
        <f t="shared" si="16"/>
        <v>15250</v>
      </c>
      <c r="H288" s="8">
        <f t="shared" si="17"/>
        <v>21899000</v>
      </c>
      <c r="I288" s="8">
        <f t="shared" si="18"/>
        <v>17519200</v>
      </c>
      <c r="J288" s="8">
        <f t="shared" si="19"/>
        <v>4379800</v>
      </c>
      <c r="K288" s="9">
        <v>45697</v>
      </c>
      <c r="L288" s="10">
        <f>Table1[[#This Row],[Profit]]/Table1[[#This Row],[Sales]]</f>
        <v>0.2</v>
      </c>
    </row>
    <row r="289" spans="1:12">
      <c r="A289" t="s">
        <v>29</v>
      </c>
      <c r="B289" t="s">
        <v>77</v>
      </c>
      <c r="C289" t="s">
        <v>37</v>
      </c>
      <c r="D289" t="s">
        <v>14</v>
      </c>
      <c r="E289" s="7">
        <v>1689</v>
      </c>
      <c r="F289" s="8">
        <v>17600</v>
      </c>
      <c r="G289" s="8">
        <f t="shared" si="16"/>
        <v>22000</v>
      </c>
      <c r="H289" s="8">
        <f t="shared" si="17"/>
        <v>37158000</v>
      </c>
      <c r="I289" s="8">
        <f t="shared" si="18"/>
        <v>29726400</v>
      </c>
      <c r="J289" s="8">
        <f t="shared" si="19"/>
        <v>7431600</v>
      </c>
      <c r="K289" s="9">
        <v>45698</v>
      </c>
      <c r="L289" s="10">
        <f>Table1[[#This Row],[Profit]]/Table1[[#This Row],[Sales]]</f>
        <v>0.2</v>
      </c>
    </row>
    <row r="290" spans="1:12">
      <c r="A290" t="s">
        <v>29</v>
      </c>
      <c r="B290" t="s">
        <v>51</v>
      </c>
      <c r="C290" t="s">
        <v>37</v>
      </c>
      <c r="D290" t="s">
        <v>14</v>
      </c>
      <c r="E290" s="7">
        <v>738</v>
      </c>
      <c r="F290" s="8">
        <v>4800</v>
      </c>
      <c r="G290" s="8">
        <f t="shared" si="16"/>
        <v>6000</v>
      </c>
      <c r="H290" s="8">
        <f t="shared" si="17"/>
        <v>4428000</v>
      </c>
      <c r="I290" s="8">
        <f t="shared" si="18"/>
        <v>3542400</v>
      </c>
      <c r="J290" s="8">
        <f t="shared" si="19"/>
        <v>885600</v>
      </c>
      <c r="K290" s="9">
        <v>45699</v>
      </c>
      <c r="L290" s="10">
        <f>Table1[[#This Row],[Profit]]/Table1[[#This Row],[Sales]]</f>
        <v>0.2</v>
      </c>
    </row>
    <row r="291" spans="1:12">
      <c r="A291" t="s">
        <v>29</v>
      </c>
      <c r="B291" t="s">
        <v>88</v>
      </c>
      <c r="C291" t="s">
        <v>68</v>
      </c>
      <c r="D291" t="s">
        <v>14</v>
      </c>
      <c r="E291" s="7">
        <v>2618</v>
      </c>
      <c r="F291" s="8">
        <v>10400</v>
      </c>
      <c r="G291" s="8">
        <f t="shared" si="16"/>
        <v>13000</v>
      </c>
      <c r="H291" s="8">
        <f t="shared" si="17"/>
        <v>34034000</v>
      </c>
      <c r="I291" s="8">
        <f t="shared" si="18"/>
        <v>27227200</v>
      </c>
      <c r="J291" s="8">
        <f t="shared" si="19"/>
        <v>6806800</v>
      </c>
      <c r="K291" s="9">
        <v>45699</v>
      </c>
      <c r="L291" s="10">
        <f>Table1[[#This Row],[Profit]]/Table1[[#This Row],[Sales]]</f>
        <v>0.2</v>
      </c>
    </row>
    <row r="292" spans="1:12">
      <c r="A292" t="s">
        <v>29</v>
      </c>
      <c r="B292" t="s">
        <v>51</v>
      </c>
      <c r="C292" t="s">
        <v>21</v>
      </c>
      <c r="D292" t="s">
        <v>14</v>
      </c>
      <c r="E292" s="7">
        <v>1400</v>
      </c>
      <c r="F292" s="8">
        <v>12000</v>
      </c>
      <c r="G292" s="8">
        <f t="shared" si="16"/>
        <v>15000</v>
      </c>
      <c r="H292" s="8">
        <f t="shared" si="17"/>
        <v>21000000</v>
      </c>
      <c r="I292" s="8">
        <f t="shared" si="18"/>
        <v>16800000</v>
      </c>
      <c r="J292" s="8">
        <f t="shared" si="19"/>
        <v>4200000</v>
      </c>
      <c r="K292" s="9">
        <v>45700</v>
      </c>
      <c r="L292" s="10">
        <f>Table1[[#This Row],[Profit]]/Table1[[#This Row],[Sales]]</f>
        <v>0.2</v>
      </c>
    </row>
    <row r="293" spans="1:12">
      <c r="A293" t="s">
        <v>29</v>
      </c>
      <c r="B293" t="s">
        <v>20</v>
      </c>
      <c r="C293" t="s">
        <v>79</v>
      </c>
      <c r="D293" t="s">
        <v>14</v>
      </c>
      <c r="E293" s="7">
        <v>1081</v>
      </c>
      <c r="F293" s="8">
        <v>20400</v>
      </c>
      <c r="G293" s="8">
        <f t="shared" si="16"/>
        <v>25500</v>
      </c>
      <c r="H293" s="8">
        <f t="shared" si="17"/>
        <v>27565500</v>
      </c>
      <c r="I293" s="8">
        <f t="shared" si="18"/>
        <v>22052400</v>
      </c>
      <c r="J293" s="8">
        <f t="shared" si="19"/>
        <v>5513100</v>
      </c>
      <c r="K293" s="9">
        <v>45701</v>
      </c>
      <c r="L293" s="10">
        <f>Table1[[#This Row],[Profit]]/Table1[[#This Row],[Sales]]</f>
        <v>0.2</v>
      </c>
    </row>
    <row r="294" spans="1:12">
      <c r="A294" t="s">
        <v>29</v>
      </c>
      <c r="B294" t="s">
        <v>20</v>
      </c>
      <c r="C294" t="s">
        <v>27</v>
      </c>
      <c r="D294" t="s">
        <v>14</v>
      </c>
      <c r="E294" s="7">
        <v>1201</v>
      </c>
      <c r="F294" s="8">
        <v>21700</v>
      </c>
      <c r="G294" s="8">
        <f t="shared" si="16"/>
        <v>27125</v>
      </c>
      <c r="H294" s="8">
        <f t="shared" si="17"/>
        <v>32577125</v>
      </c>
      <c r="I294" s="8">
        <f t="shared" si="18"/>
        <v>26061700</v>
      </c>
      <c r="J294" s="8">
        <f t="shared" si="19"/>
        <v>6515425</v>
      </c>
      <c r="K294" s="9">
        <v>45704</v>
      </c>
      <c r="L294" s="10">
        <f>Table1[[#This Row],[Profit]]/Table1[[#This Row],[Sales]]</f>
        <v>0.2</v>
      </c>
    </row>
    <row r="295" spans="1:12">
      <c r="A295" t="s">
        <v>29</v>
      </c>
      <c r="B295" t="s">
        <v>39</v>
      </c>
      <c r="C295" t="s">
        <v>21</v>
      </c>
      <c r="D295" t="s">
        <v>14</v>
      </c>
      <c r="E295" s="7">
        <v>2409</v>
      </c>
      <c r="F295" s="8">
        <v>20900</v>
      </c>
      <c r="G295" s="8">
        <f t="shared" si="16"/>
        <v>26125</v>
      </c>
      <c r="H295" s="8">
        <f t="shared" si="17"/>
        <v>62935125</v>
      </c>
      <c r="I295" s="8">
        <f t="shared" si="18"/>
        <v>50348100</v>
      </c>
      <c r="J295" s="8">
        <f t="shared" si="19"/>
        <v>12587025</v>
      </c>
      <c r="K295" s="9">
        <v>45706</v>
      </c>
      <c r="L295" s="10">
        <f>Table1[[#This Row],[Profit]]/Table1[[#This Row],[Sales]]</f>
        <v>0.2</v>
      </c>
    </row>
    <row r="296" spans="1:12">
      <c r="A296" t="s">
        <v>29</v>
      </c>
      <c r="B296" t="s">
        <v>97</v>
      </c>
      <c r="C296" t="s">
        <v>79</v>
      </c>
      <c r="D296" t="s">
        <v>14</v>
      </c>
      <c r="E296" s="7">
        <v>161</v>
      </c>
      <c r="F296" s="8">
        <v>5700</v>
      </c>
      <c r="G296" s="8">
        <f t="shared" si="16"/>
        <v>7125</v>
      </c>
      <c r="H296" s="8">
        <f t="shared" si="17"/>
        <v>1147125</v>
      </c>
      <c r="I296" s="8">
        <f t="shared" si="18"/>
        <v>917700</v>
      </c>
      <c r="J296" s="8">
        <f t="shared" si="19"/>
        <v>229425</v>
      </c>
      <c r="K296" s="9">
        <v>45706</v>
      </c>
      <c r="L296" s="10">
        <f>Table1[[#This Row],[Profit]]/Table1[[#This Row],[Sales]]</f>
        <v>0.2</v>
      </c>
    </row>
    <row r="297" spans="1:12">
      <c r="A297" t="s">
        <v>29</v>
      </c>
      <c r="B297" t="s">
        <v>88</v>
      </c>
      <c r="C297" t="s">
        <v>27</v>
      </c>
      <c r="D297" t="s">
        <v>14</v>
      </c>
      <c r="E297" s="7">
        <v>2412</v>
      </c>
      <c r="F297" s="8">
        <v>17300</v>
      </c>
      <c r="G297" s="8">
        <f t="shared" si="16"/>
        <v>21625</v>
      </c>
      <c r="H297" s="8">
        <f t="shared" si="17"/>
        <v>52159500</v>
      </c>
      <c r="I297" s="8">
        <f t="shared" si="18"/>
        <v>41727600</v>
      </c>
      <c r="J297" s="8">
        <f t="shared" si="19"/>
        <v>10431900</v>
      </c>
      <c r="K297" s="9">
        <v>45707</v>
      </c>
      <c r="L297" s="10">
        <f>Table1[[#This Row],[Profit]]/Table1[[#This Row],[Sales]]</f>
        <v>0.2</v>
      </c>
    </row>
    <row r="298" spans="1:12">
      <c r="A298" t="s">
        <v>29</v>
      </c>
      <c r="B298" t="s">
        <v>20</v>
      </c>
      <c r="C298" t="s">
        <v>34</v>
      </c>
      <c r="D298" t="s">
        <v>14</v>
      </c>
      <c r="E298" s="7">
        <v>521</v>
      </c>
      <c r="F298" s="8">
        <v>11800</v>
      </c>
      <c r="G298" s="8">
        <f t="shared" si="16"/>
        <v>14750</v>
      </c>
      <c r="H298" s="8">
        <f t="shared" si="17"/>
        <v>7684750</v>
      </c>
      <c r="I298" s="8">
        <f t="shared" si="18"/>
        <v>6147800</v>
      </c>
      <c r="J298" s="8">
        <f t="shared" si="19"/>
        <v>1536950</v>
      </c>
      <c r="K298" s="9">
        <v>45708</v>
      </c>
      <c r="L298" s="10">
        <f>Table1[[#This Row],[Profit]]/Table1[[#This Row],[Sales]]</f>
        <v>0.2</v>
      </c>
    </row>
    <row r="299" spans="1:12">
      <c r="A299" t="s">
        <v>29</v>
      </c>
      <c r="B299" t="s">
        <v>39</v>
      </c>
      <c r="C299" t="s">
        <v>13</v>
      </c>
      <c r="D299" t="s">
        <v>14</v>
      </c>
      <c r="E299" s="7">
        <v>2513</v>
      </c>
      <c r="F299" s="8">
        <v>19900</v>
      </c>
      <c r="G299" s="8">
        <f t="shared" si="16"/>
        <v>24875</v>
      </c>
      <c r="H299" s="8">
        <f t="shared" si="17"/>
        <v>62510875</v>
      </c>
      <c r="I299" s="8">
        <f t="shared" si="18"/>
        <v>50008700</v>
      </c>
      <c r="J299" s="8">
        <f t="shared" si="19"/>
        <v>12502175</v>
      </c>
      <c r="K299" s="9">
        <v>45709</v>
      </c>
      <c r="L299" s="10">
        <f>Table1[[#This Row],[Profit]]/Table1[[#This Row],[Sales]]</f>
        <v>0.2</v>
      </c>
    </row>
    <row r="300" spans="1:12">
      <c r="A300" t="s">
        <v>29</v>
      </c>
      <c r="B300" t="s">
        <v>97</v>
      </c>
      <c r="C300" t="s">
        <v>68</v>
      </c>
      <c r="D300" t="s">
        <v>14</v>
      </c>
      <c r="E300" s="7">
        <v>1518</v>
      </c>
      <c r="F300" s="8">
        <v>3500</v>
      </c>
      <c r="G300" s="8">
        <f t="shared" si="16"/>
        <v>4375</v>
      </c>
      <c r="H300" s="8">
        <f t="shared" si="17"/>
        <v>6641250</v>
      </c>
      <c r="I300" s="8">
        <f t="shared" si="18"/>
        <v>5313000</v>
      </c>
      <c r="J300" s="8">
        <f t="shared" si="19"/>
        <v>1328250</v>
      </c>
      <c r="K300" s="9">
        <v>45711</v>
      </c>
      <c r="L300" s="10">
        <f>Table1[[#This Row],[Profit]]/Table1[[#This Row],[Sales]]</f>
        <v>0.2</v>
      </c>
    </row>
    <row r="301" spans="1:12">
      <c r="A301" t="s">
        <v>29</v>
      </c>
      <c r="B301" t="s">
        <v>26</v>
      </c>
      <c r="C301" t="s">
        <v>21</v>
      </c>
      <c r="D301" t="s">
        <v>14</v>
      </c>
      <c r="E301" s="7">
        <v>2101</v>
      </c>
      <c r="F301" s="8">
        <v>10100</v>
      </c>
      <c r="G301" s="8">
        <f t="shared" si="16"/>
        <v>12625</v>
      </c>
      <c r="H301" s="8">
        <f t="shared" si="17"/>
        <v>26525125</v>
      </c>
      <c r="I301" s="8">
        <f t="shared" si="18"/>
        <v>21220100</v>
      </c>
      <c r="J301" s="8">
        <f t="shared" si="19"/>
        <v>5305025</v>
      </c>
      <c r="K301" s="9">
        <v>45711</v>
      </c>
      <c r="L301" s="10">
        <f>Table1[[#This Row],[Profit]]/Table1[[#This Row],[Sales]]</f>
        <v>0.2</v>
      </c>
    </row>
    <row r="302" spans="1:12">
      <c r="A302" t="s">
        <v>29</v>
      </c>
      <c r="B302" t="s">
        <v>26</v>
      </c>
      <c r="C302" t="s">
        <v>37</v>
      </c>
      <c r="D302" t="s">
        <v>14</v>
      </c>
      <c r="E302" s="7">
        <v>2756</v>
      </c>
      <c r="F302" s="8">
        <v>24900</v>
      </c>
      <c r="G302" s="8">
        <f t="shared" si="16"/>
        <v>31125</v>
      </c>
      <c r="H302" s="8">
        <f t="shared" si="17"/>
        <v>85780500</v>
      </c>
      <c r="I302" s="8">
        <f t="shared" si="18"/>
        <v>68624400</v>
      </c>
      <c r="J302" s="8">
        <f t="shared" si="19"/>
        <v>17156100</v>
      </c>
      <c r="K302" s="9">
        <v>45712</v>
      </c>
      <c r="L302" s="10">
        <f>Table1[[#This Row],[Profit]]/Table1[[#This Row],[Sales]]</f>
        <v>0.2</v>
      </c>
    </row>
    <row r="303" spans="1:12">
      <c r="A303" t="s">
        <v>29</v>
      </c>
      <c r="B303" t="s">
        <v>51</v>
      </c>
      <c r="C303" t="s">
        <v>68</v>
      </c>
      <c r="D303" t="s">
        <v>14</v>
      </c>
      <c r="E303" s="7">
        <v>2820</v>
      </c>
      <c r="F303" s="8">
        <v>6700</v>
      </c>
      <c r="G303" s="8">
        <f t="shared" si="16"/>
        <v>8375</v>
      </c>
      <c r="H303" s="8">
        <f t="shared" si="17"/>
        <v>23617500</v>
      </c>
      <c r="I303" s="8">
        <f t="shared" si="18"/>
        <v>18894000</v>
      </c>
      <c r="J303" s="8">
        <f t="shared" si="19"/>
        <v>4723500</v>
      </c>
      <c r="K303" s="9">
        <v>45715</v>
      </c>
      <c r="L303" s="10">
        <f>Table1[[#This Row],[Profit]]/Table1[[#This Row],[Sales]]</f>
        <v>0.2</v>
      </c>
    </row>
    <row r="304" spans="1:12">
      <c r="A304" t="s">
        <v>29</v>
      </c>
      <c r="B304" t="s">
        <v>39</v>
      </c>
      <c r="C304" t="s">
        <v>37</v>
      </c>
      <c r="D304" t="s">
        <v>14</v>
      </c>
      <c r="E304" s="7">
        <v>965</v>
      </c>
      <c r="F304" s="8">
        <v>20400</v>
      </c>
      <c r="G304" s="8">
        <f t="shared" si="16"/>
        <v>25500</v>
      </c>
      <c r="H304" s="8">
        <f t="shared" si="17"/>
        <v>24607500</v>
      </c>
      <c r="I304" s="8">
        <f t="shared" si="18"/>
        <v>19686000</v>
      </c>
      <c r="J304" s="8">
        <f t="shared" si="19"/>
        <v>4921500</v>
      </c>
      <c r="K304" s="9">
        <v>45716</v>
      </c>
      <c r="L304" s="10">
        <f>Table1[[#This Row],[Profit]]/Table1[[#This Row],[Sales]]</f>
        <v>0.2</v>
      </c>
    </row>
    <row r="305" spans="1:12">
      <c r="A305" t="s">
        <v>29</v>
      </c>
      <c r="B305" t="s">
        <v>26</v>
      </c>
      <c r="C305" t="s">
        <v>27</v>
      </c>
      <c r="D305" t="s">
        <v>14</v>
      </c>
      <c r="E305" s="7">
        <v>800</v>
      </c>
      <c r="F305" s="8">
        <v>18786</v>
      </c>
      <c r="G305" s="8">
        <f t="shared" si="16"/>
        <v>23375</v>
      </c>
      <c r="H305" s="8">
        <f t="shared" si="17"/>
        <v>18700000</v>
      </c>
      <c r="I305" s="8">
        <f t="shared" si="18"/>
        <v>15028800</v>
      </c>
      <c r="J305" s="8">
        <f t="shared" si="19"/>
        <v>3671200</v>
      </c>
      <c r="K305" s="9">
        <v>45719</v>
      </c>
      <c r="L305" s="10">
        <f>Table1[[#This Row],[Profit]]/Table1[[#This Row],[Sales]]</f>
        <v>0.19632085561497326</v>
      </c>
    </row>
    <row r="306" spans="1:12">
      <c r="A306" t="s">
        <v>29</v>
      </c>
      <c r="B306" t="s">
        <v>51</v>
      </c>
      <c r="C306" t="s">
        <v>13</v>
      </c>
      <c r="D306" t="s">
        <v>14</v>
      </c>
      <c r="E306" s="7">
        <v>1344</v>
      </c>
      <c r="F306" s="8">
        <v>2800</v>
      </c>
      <c r="G306" s="8">
        <f t="shared" si="16"/>
        <v>3500</v>
      </c>
      <c r="H306" s="8">
        <f t="shared" si="17"/>
        <v>4704000</v>
      </c>
      <c r="I306" s="8">
        <f t="shared" si="18"/>
        <v>3763200</v>
      </c>
      <c r="J306" s="8">
        <f t="shared" si="19"/>
        <v>940800</v>
      </c>
      <c r="K306" s="9">
        <v>45721</v>
      </c>
      <c r="L306" s="10">
        <f>Table1[[#This Row],[Profit]]/Table1[[#This Row],[Sales]]</f>
        <v>0.2</v>
      </c>
    </row>
    <row r="307" spans="1:12">
      <c r="A307" t="s">
        <v>29</v>
      </c>
      <c r="B307" t="s">
        <v>39</v>
      </c>
      <c r="C307" t="s">
        <v>27</v>
      </c>
      <c r="D307" t="s">
        <v>14</v>
      </c>
      <c r="E307" s="7">
        <v>2291</v>
      </c>
      <c r="F307" s="8">
        <v>8200</v>
      </c>
      <c r="G307" s="8">
        <f t="shared" si="16"/>
        <v>10250</v>
      </c>
      <c r="H307" s="8">
        <f t="shared" si="17"/>
        <v>23482750</v>
      </c>
      <c r="I307" s="8">
        <f t="shared" si="18"/>
        <v>18786200</v>
      </c>
      <c r="J307" s="8">
        <f t="shared" si="19"/>
        <v>4696550</v>
      </c>
      <c r="K307" s="9">
        <v>45721</v>
      </c>
      <c r="L307" s="10">
        <f>Table1[[#This Row],[Profit]]/Table1[[#This Row],[Sales]]</f>
        <v>0.2</v>
      </c>
    </row>
    <row r="308" spans="1:12">
      <c r="A308" t="s">
        <v>29</v>
      </c>
      <c r="B308" t="s">
        <v>97</v>
      </c>
      <c r="C308" t="s">
        <v>63</v>
      </c>
      <c r="D308" t="s">
        <v>14</v>
      </c>
      <c r="E308" s="7">
        <v>652</v>
      </c>
      <c r="F308" s="8">
        <v>11300</v>
      </c>
      <c r="G308" s="8">
        <f t="shared" si="16"/>
        <v>14125</v>
      </c>
      <c r="H308" s="8">
        <f t="shared" si="17"/>
        <v>9209500</v>
      </c>
      <c r="I308" s="8">
        <f t="shared" si="18"/>
        <v>7367600</v>
      </c>
      <c r="J308" s="8">
        <f t="shared" si="19"/>
        <v>1841900</v>
      </c>
      <c r="K308" s="9">
        <v>45723</v>
      </c>
      <c r="L308" s="10">
        <f>Table1[[#This Row],[Profit]]/Table1[[#This Row],[Sales]]</f>
        <v>0.2</v>
      </c>
    </row>
    <row r="309" spans="1:12">
      <c r="A309" t="s">
        <v>29</v>
      </c>
      <c r="B309" t="s">
        <v>77</v>
      </c>
      <c r="C309" t="s">
        <v>13</v>
      </c>
      <c r="D309" t="s">
        <v>14</v>
      </c>
      <c r="E309" s="7">
        <v>812</v>
      </c>
      <c r="F309" s="8">
        <v>15900</v>
      </c>
      <c r="G309" s="8">
        <f t="shared" si="16"/>
        <v>19875</v>
      </c>
      <c r="H309" s="8">
        <f t="shared" si="17"/>
        <v>16138500</v>
      </c>
      <c r="I309" s="8">
        <f t="shared" si="18"/>
        <v>12910800</v>
      </c>
      <c r="J309" s="8">
        <f t="shared" si="19"/>
        <v>3227700</v>
      </c>
      <c r="K309" s="9">
        <v>45725</v>
      </c>
      <c r="L309" s="10">
        <f>Table1[[#This Row],[Profit]]/Table1[[#This Row],[Sales]]</f>
        <v>0.2</v>
      </c>
    </row>
    <row r="310" spans="1:12">
      <c r="A310" t="s">
        <v>29</v>
      </c>
      <c r="B310" t="s">
        <v>26</v>
      </c>
      <c r="C310" t="s">
        <v>68</v>
      </c>
      <c r="D310" t="s">
        <v>14</v>
      </c>
      <c r="E310" s="7">
        <v>2138</v>
      </c>
      <c r="F310" s="8">
        <v>8500</v>
      </c>
      <c r="G310" s="8">
        <f t="shared" si="16"/>
        <v>10625</v>
      </c>
      <c r="H310" s="8">
        <f t="shared" si="17"/>
        <v>22716250</v>
      </c>
      <c r="I310" s="8">
        <f t="shared" si="18"/>
        <v>18173000</v>
      </c>
      <c r="J310" s="8">
        <f t="shared" si="19"/>
        <v>4543250</v>
      </c>
      <c r="K310" s="9">
        <v>45727</v>
      </c>
      <c r="L310" s="10">
        <f>Table1[[#This Row],[Profit]]/Table1[[#This Row],[Sales]]</f>
        <v>0.2</v>
      </c>
    </row>
    <row r="311" spans="1:12">
      <c r="A311" t="s">
        <v>29</v>
      </c>
      <c r="B311" t="s">
        <v>97</v>
      </c>
      <c r="C311" t="s">
        <v>17</v>
      </c>
      <c r="D311" t="s">
        <v>14</v>
      </c>
      <c r="E311" s="7">
        <v>2519</v>
      </c>
      <c r="F311" s="8">
        <v>11800</v>
      </c>
      <c r="G311" s="8">
        <f t="shared" si="16"/>
        <v>14750</v>
      </c>
      <c r="H311" s="8">
        <f t="shared" si="17"/>
        <v>37155250</v>
      </c>
      <c r="I311" s="8">
        <f t="shared" si="18"/>
        <v>29724200</v>
      </c>
      <c r="J311" s="8">
        <f t="shared" si="19"/>
        <v>7431050</v>
      </c>
      <c r="K311" s="9">
        <v>45727</v>
      </c>
      <c r="L311" s="10">
        <f>Table1[[#This Row],[Profit]]/Table1[[#This Row],[Sales]]</f>
        <v>0.2</v>
      </c>
    </row>
    <row r="312" spans="1:12">
      <c r="A312" t="s">
        <v>29</v>
      </c>
      <c r="B312" t="s">
        <v>98</v>
      </c>
      <c r="C312" t="s">
        <v>27</v>
      </c>
      <c r="D312" t="s">
        <v>14</v>
      </c>
      <c r="E312" s="7">
        <v>2867</v>
      </c>
      <c r="F312" s="8">
        <v>8500</v>
      </c>
      <c r="G312" s="8">
        <f t="shared" si="16"/>
        <v>10625</v>
      </c>
      <c r="H312" s="8">
        <f t="shared" si="17"/>
        <v>30461875</v>
      </c>
      <c r="I312" s="8">
        <f t="shared" si="18"/>
        <v>24369500</v>
      </c>
      <c r="J312" s="8">
        <f t="shared" si="19"/>
        <v>6092375</v>
      </c>
      <c r="K312" s="9">
        <v>45727</v>
      </c>
      <c r="L312" s="10">
        <f>Table1[[#This Row],[Profit]]/Table1[[#This Row],[Sales]]</f>
        <v>0.2</v>
      </c>
    </row>
    <row r="313" spans="1:12">
      <c r="A313" t="s">
        <v>29</v>
      </c>
      <c r="B313" t="s">
        <v>62</v>
      </c>
      <c r="C313" t="s">
        <v>31</v>
      </c>
      <c r="D313" t="s">
        <v>14</v>
      </c>
      <c r="E313" s="7">
        <v>2362</v>
      </c>
      <c r="F313" s="8">
        <v>21300</v>
      </c>
      <c r="G313" s="8">
        <f t="shared" si="16"/>
        <v>26625</v>
      </c>
      <c r="H313" s="8">
        <f t="shared" si="17"/>
        <v>62888250</v>
      </c>
      <c r="I313" s="8">
        <f t="shared" si="18"/>
        <v>50310600</v>
      </c>
      <c r="J313" s="8">
        <f t="shared" si="19"/>
        <v>12577650</v>
      </c>
      <c r="K313" s="9">
        <v>45729</v>
      </c>
      <c r="L313" s="10">
        <f>Table1[[#This Row],[Profit]]/Table1[[#This Row],[Sales]]</f>
        <v>0.2</v>
      </c>
    </row>
    <row r="314" spans="1:12">
      <c r="A314" t="s">
        <v>29</v>
      </c>
      <c r="B314" t="s">
        <v>88</v>
      </c>
      <c r="C314" t="s">
        <v>34</v>
      </c>
      <c r="D314" t="s">
        <v>14</v>
      </c>
      <c r="E314" s="7">
        <v>2325</v>
      </c>
      <c r="F314" s="8">
        <v>17800</v>
      </c>
      <c r="G314" s="8">
        <f t="shared" si="16"/>
        <v>22250</v>
      </c>
      <c r="H314" s="8">
        <f t="shared" si="17"/>
        <v>51731250</v>
      </c>
      <c r="I314" s="8">
        <f t="shared" si="18"/>
        <v>41385000</v>
      </c>
      <c r="J314" s="8">
        <f t="shared" si="19"/>
        <v>10346250</v>
      </c>
      <c r="K314" s="9">
        <v>45731</v>
      </c>
      <c r="L314" s="10">
        <f>Table1[[#This Row],[Profit]]/Table1[[#This Row],[Sales]]</f>
        <v>0.2</v>
      </c>
    </row>
    <row r="315" spans="1:12">
      <c r="A315" t="s">
        <v>29</v>
      </c>
      <c r="B315" t="s">
        <v>20</v>
      </c>
      <c r="C315" t="s">
        <v>63</v>
      </c>
      <c r="D315" t="s">
        <v>14</v>
      </c>
      <c r="E315" s="7">
        <v>2669</v>
      </c>
      <c r="F315" s="8">
        <v>5400</v>
      </c>
      <c r="G315" s="8">
        <f t="shared" si="16"/>
        <v>6750</v>
      </c>
      <c r="H315" s="8">
        <f t="shared" si="17"/>
        <v>18015750</v>
      </c>
      <c r="I315" s="8">
        <f t="shared" si="18"/>
        <v>14412600</v>
      </c>
      <c r="J315" s="8">
        <f t="shared" si="19"/>
        <v>3603150</v>
      </c>
      <c r="K315" s="9">
        <v>45731</v>
      </c>
      <c r="L315" s="10">
        <f>Table1[[#This Row],[Profit]]/Table1[[#This Row],[Sales]]</f>
        <v>0.2</v>
      </c>
    </row>
    <row r="316" spans="1:12">
      <c r="A316" t="s">
        <v>29</v>
      </c>
      <c r="B316" t="s">
        <v>88</v>
      </c>
      <c r="C316" t="s">
        <v>17</v>
      </c>
      <c r="D316" t="s">
        <v>14</v>
      </c>
      <c r="E316" s="7">
        <v>1902</v>
      </c>
      <c r="F316" s="8">
        <v>9300</v>
      </c>
      <c r="G316" s="8">
        <f t="shared" si="16"/>
        <v>11625</v>
      </c>
      <c r="H316" s="8">
        <f t="shared" si="17"/>
        <v>22110750</v>
      </c>
      <c r="I316" s="8">
        <f t="shared" si="18"/>
        <v>17688600</v>
      </c>
      <c r="J316" s="8">
        <f t="shared" si="19"/>
        <v>4422150</v>
      </c>
      <c r="K316" s="9">
        <v>45731</v>
      </c>
      <c r="L316" s="10">
        <f>Table1[[#This Row],[Profit]]/Table1[[#This Row],[Sales]]</f>
        <v>0.2</v>
      </c>
    </row>
    <row r="317" spans="1:12">
      <c r="A317" t="s">
        <v>29</v>
      </c>
      <c r="B317" t="s">
        <v>36</v>
      </c>
      <c r="C317" t="s">
        <v>17</v>
      </c>
      <c r="D317" t="s">
        <v>14</v>
      </c>
      <c r="E317" s="7">
        <v>993</v>
      </c>
      <c r="F317" s="8">
        <v>23700</v>
      </c>
      <c r="G317" s="8">
        <f t="shared" si="16"/>
        <v>29625</v>
      </c>
      <c r="H317" s="8">
        <f t="shared" si="17"/>
        <v>29417625</v>
      </c>
      <c r="I317" s="8">
        <f t="shared" si="18"/>
        <v>23534100</v>
      </c>
      <c r="J317" s="8">
        <f t="shared" si="19"/>
        <v>5883525</v>
      </c>
      <c r="K317" s="9">
        <v>45735</v>
      </c>
      <c r="L317" s="10">
        <f>Table1[[#This Row],[Profit]]/Table1[[#This Row],[Sales]]</f>
        <v>0.2</v>
      </c>
    </row>
    <row r="318" spans="1:12">
      <c r="A318" t="s">
        <v>29</v>
      </c>
      <c r="B318" t="s">
        <v>62</v>
      </c>
      <c r="C318" t="s">
        <v>34</v>
      </c>
      <c r="D318" t="s">
        <v>14</v>
      </c>
      <c r="E318" s="7">
        <v>2839</v>
      </c>
      <c r="F318" s="8">
        <v>19100</v>
      </c>
      <c r="G318" s="8">
        <f t="shared" si="16"/>
        <v>23875</v>
      </c>
      <c r="H318" s="8">
        <f t="shared" si="17"/>
        <v>67781125</v>
      </c>
      <c r="I318" s="8">
        <f t="shared" si="18"/>
        <v>54224900</v>
      </c>
      <c r="J318" s="8">
        <f t="shared" si="19"/>
        <v>13556225</v>
      </c>
      <c r="K318" s="9">
        <v>45736</v>
      </c>
      <c r="L318" s="10">
        <f>Table1[[#This Row],[Profit]]/Table1[[#This Row],[Sales]]</f>
        <v>0.2</v>
      </c>
    </row>
    <row r="319" spans="1:12">
      <c r="A319" t="s">
        <v>29</v>
      </c>
      <c r="B319" t="s">
        <v>26</v>
      </c>
      <c r="C319" t="s">
        <v>37</v>
      </c>
      <c r="D319" t="s">
        <v>14</v>
      </c>
      <c r="E319" s="7">
        <v>2765</v>
      </c>
      <c r="F319" s="8">
        <v>7900</v>
      </c>
      <c r="G319" s="8">
        <f t="shared" si="16"/>
        <v>9875</v>
      </c>
      <c r="H319" s="8">
        <f t="shared" si="17"/>
        <v>27304375</v>
      </c>
      <c r="I319" s="8">
        <f t="shared" si="18"/>
        <v>21843500</v>
      </c>
      <c r="J319" s="8">
        <f t="shared" si="19"/>
        <v>5460875</v>
      </c>
      <c r="K319" s="9">
        <v>45736</v>
      </c>
      <c r="L319" s="10">
        <f>Table1[[#This Row],[Profit]]/Table1[[#This Row],[Sales]]</f>
        <v>0.2</v>
      </c>
    </row>
    <row r="320" spans="1:12">
      <c r="A320" t="s">
        <v>29</v>
      </c>
      <c r="B320" t="s">
        <v>98</v>
      </c>
      <c r="C320" t="s">
        <v>34</v>
      </c>
      <c r="D320" t="s">
        <v>14</v>
      </c>
      <c r="E320" s="7">
        <v>1827</v>
      </c>
      <c r="F320" s="8">
        <v>6500</v>
      </c>
      <c r="G320" s="8">
        <f t="shared" si="16"/>
        <v>8125</v>
      </c>
      <c r="H320" s="8">
        <f t="shared" si="17"/>
        <v>14844375</v>
      </c>
      <c r="I320" s="8">
        <f t="shared" si="18"/>
        <v>11875500</v>
      </c>
      <c r="J320" s="8">
        <f t="shared" si="19"/>
        <v>2968875</v>
      </c>
      <c r="K320" s="9">
        <v>45739</v>
      </c>
      <c r="L320" s="10">
        <f>Table1[[#This Row],[Profit]]/Table1[[#This Row],[Sales]]</f>
        <v>0.2</v>
      </c>
    </row>
    <row r="321" spans="1:12">
      <c r="A321" t="s">
        <v>29</v>
      </c>
      <c r="B321" t="s">
        <v>62</v>
      </c>
      <c r="C321" t="s">
        <v>37</v>
      </c>
      <c r="D321" t="s">
        <v>14</v>
      </c>
      <c r="E321" s="7">
        <v>1104</v>
      </c>
      <c r="F321" s="8">
        <v>3200</v>
      </c>
      <c r="G321" s="8">
        <f t="shared" si="16"/>
        <v>4000</v>
      </c>
      <c r="H321" s="8">
        <f t="shared" si="17"/>
        <v>4416000</v>
      </c>
      <c r="I321" s="8">
        <f t="shared" si="18"/>
        <v>3532800</v>
      </c>
      <c r="J321" s="8">
        <f t="shared" si="19"/>
        <v>883200</v>
      </c>
      <c r="K321" s="9">
        <v>45742</v>
      </c>
      <c r="L321" s="10">
        <f>Table1[[#This Row],[Profit]]/Table1[[#This Row],[Sales]]</f>
        <v>0.2</v>
      </c>
    </row>
    <row r="322" spans="1:12">
      <c r="A322" t="s">
        <v>29</v>
      </c>
      <c r="B322" t="s">
        <v>51</v>
      </c>
      <c r="C322" t="s">
        <v>13</v>
      </c>
      <c r="D322" t="s">
        <v>14</v>
      </c>
      <c r="E322" s="7">
        <v>1945</v>
      </c>
      <c r="F322" s="8">
        <v>10700</v>
      </c>
      <c r="G322" s="8">
        <f t="shared" ref="G322:G385" si="20">ROUNDDOWN(F322/100,0)*100*1.25</f>
        <v>13375</v>
      </c>
      <c r="H322" s="8">
        <f t="shared" ref="H322:H385" si="21">E322*G322</f>
        <v>26014375</v>
      </c>
      <c r="I322" s="8">
        <f t="shared" ref="I322:I385" si="22">E322*F322</f>
        <v>20811500</v>
      </c>
      <c r="J322" s="8">
        <f t="shared" ref="J322:J385" si="23">H322-I322</f>
        <v>5202875</v>
      </c>
      <c r="K322" s="9">
        <v>45742</v>
      </c>
      <c r="L322" s="10">
        <f>Table1[[#This Row],[Profit]]/Table1[[#This Row],[Sales]]</f>
        <v>0.2</v>
      </c>
    </row>
    <row r="323" spans="1:12">
      <c r="A323" t="s">
        <v>29</v>
      </c>
      <c r="B323" t="s">
        <v>62</v>
      </c>
      <c r="C323" t="s">
        <v>79</v>
      </c>
      <c r="D323" t="s">
        <v>14</v>
      </c>
      <c r="E323" s="7">
        <v>1330</v>
      </c>
      <c r="F323" s="8">
        <v>1800</v>
      </c>
      <c r="G323" s="8">
        <f t="shared" si="20"/>
        <v>2250</v>
      </c>
      <c r="H323" s="8">
        <f t="shared" si="21"/>
        <v>2992500</v>
      </c>
      <c r="I323" s="8">
        <f t="shared" si="22"/>
        <v>2394000</v>
      </c>
      <c r="J323" s="8">
        <f t="shared" si="23"/>
        <v>598500</v>
      </c>
      <c r="K323" s="9">
        <v>45744</v>
      </c>
      <c r="L323" s="10">
        <f>Table1[[#This Row],[Profit]]/Table1[[#This Row],[Sales]]</f>
        <v>0.2</v>
      </c>
    </row>
    <row r="324" spans="1:12">
      <c r="A324" t="s">
        <v>29</v>
      </c>
      <c r="B324" t="s">
        <v>62</v>
      </c>
      <c r="C324" t="s">
        <v>21</v>
      </c>
      <c r="D324" t="s">
        <v>14</v>
      </c>
      <c r="E324" s="7">
        <v>1143</v>
      </c>
      <c r="F324" s="8">
        <v>11200</v>
      </c>
      <c r="G324" s="8">
        <f t="shared" si="20"/>
        <v>14000</v>
      </c>
      <c r="H324" s="8">
        <f t="shared" si="21"/>
        <v>16002000</v>
      </c>
      <c r="I324" s="8">
        <f t="shared" si="22"/>
        <v>12801600</v>
      </c>
      <c r="J324" s="8">
        <f t="shared" si="23"/>
        <v>3200400</v>
      </c>
      <c r="K324" s="9">
        <v>45745</v>
      </c>
      <c r="L324" s="10">
        <f>Table1[[#This Row],[Profit]]/Table1[[#This Row],[Sales]]</f>
        <v>0.2</v>
      </c>
    </row>
    <row r="325" spans="1:12">
      <c r="A325" t="s">
        <v>29</v>
      </c>
      <c r="B325" t="s">
        <v>88</v>
      </c>
      <c r="C325" t="s">
        <v>34</v>
      </c>
      <c r="D325" t="s">
        <v>14</v>
      </c>
      <c r="E325" s="7">
        <v>2272</v>
      </c>
      <c r="F325" s="8">
        <v>20400</v>
      </c>
      <c r="G325" s="8">
        <f t="shared" si="20"/>
        <v>25500</v>
      </c>
      <c r="H325" s="8">
        <f t="shared" si="21"/>
        <v>57936000</v>
      </c>
      <c r="I325" s="8">
        <f t="shared" si="22"/>
        <v>46348800</v>
      </c>
      <c r="J325" s="8">
        <f t="shared" si="23"/>
        <v>11587200</v>
      </c>
      <c r="K325" s="9">
        <v>45751</v>
      </c>
      <c r="L325" s="10">
        <f>Table1[[#This Row],[Profit]]/Table1[[#This Row],[Sales]]</f>
        <v>0.2</v>
      </c>
    </row>
    <row r="326" spans="1:12">
      <c r="A326" t="s">
        <v>29</v>
      </c>
      <c r="B326" t="s">
        <v>39</v>
      </c>
      <c r="C326" t="s">
        <v>68</v>
      </c>
      <c r="D326" t="s">
        <v>14</v>
      </c>
      <c r="E326" s="7">
        <v>2019</v>
      </c>
      <c r="F326" s="8">
        <v>12900</v>
      </c>
      <c r="G326" s="8">
        <f t="shared" si="20"/>
        <v>16125</v>
      </c>
      <c r="H326" s="8">
        <f t="shared" si="21"/>
        <v>32556375</v>
      </c>
      <c r="I326" s="8">
        <f t="shared" si="22"/>
        <v>26045100</v>
      </c>
      <c r="J326" s="8">
        <f t="shared" si="23"/>
        <v>6511275</v>
      </c>
      <c r="K326" s="9">
        <v>45753</v>
      </c>
      <c r="L326" s="10">
        <f>Table1[[#This Row],[Profit]]/Table1[[#This Row],[Sales]]</f>
        <v>0.2</v>
      </c>
    </row>
    <row r="327" spans="1:12">
      <c r="A327" t="s">
        <v>29</v>
      </c>
      <c r="B327" t="s">
        <v>62</v>
      </c>
      <c r="C327" t="s">
        <v>21</v>
      </c>
      <c r="D327" t="s">
        <v>14</v>
      </c>
      <c r="E327" s="7">
        <v>751</v>
      </c>
      <c r="F327" s="8">
        <v>16000</v>
      </c>
      <c r="G327" s="8">
        <f t="shared" si="20"/>
        <v>20000</v>
      </c>
      <c r="H327" s="8">
        <f t="shared" si="21"/>
        <v>15020000</v>
      </c>
      <c r="I327" s="8">
        <f t="shared" si="22"/>
        <v>12016000</v>
      </c>
      <c r="J327" s="8">
        <f t="shared" si="23"/>
        <v>3004000</v>
      </c>
      <c r="K327" s="9">
        <v>45756</v>
      </c>
      <c r="L327" s="10">
        <f>Table1[[#This Row],[Profit]]/Table1[[#This Row],[Sales]]</f>
        <v>0.2</v>
      </c>
    </row>
    <row r="328" spans="1:12">
      <c r="A328" t="s">
        <v>29</v>
      </c>
      <c r="B328" t="s">
        <v>39</v>
      </c>
      <c r="C328" t="s">
        <v>17</v>
      </c>
      <c r="D328" t="s">
        <v>14</v>
      </c>
      <c r="E328" s="7">
        <v>2817</v>
      </c>
      <c r="F328" s="8">
        <v>13000</v>
      </c>
      <c r="G328" s="8">
        <f t="shared" si="20"/>
        <v>16250</v>
      </c>
      <c r="H328" s="8">
        <f t="shared" si="21"/>
        <v>45776250</v>
      </c>
      <c r="I328" s="8">
        <f t="shared" si="22"/>
        <v>36621000</v>
      </c>
      <c r="J328" s="8">
        <f t="shared" si="23"/>
        <v>9155250</v>
      </c>
      <c r="K328" s="9">
        <v>45758</v>
      </c>
      <c r="L328" s="10">
        <f>Table1[[#This Row],[Profit]]/Table1[[#This Row],[Sales]]</f>
        <v>0.2</v>
      </c>
    </row>
    <row r="329" spans="1:12">
      <c r="A329" t="s">
        <v>29</v>
      </c>
      <c r="B329" t="s">
        <v>98</v>
      </c>
      <c r="C329" t="s">
        <v>37</v>
      </c>
      <c r="D329" t="s">
        <v>14</v>
      </c>
      <c r="E329" s="7">
        <v>2012</v>
      </c>
      <c r="F329" s="8">
        <v>16600</v>
      </c>
      <c r="G329" s="8">
        <f t="shared" si="20"/>
        <v>20750</v>
      </c>
      <c r="H329" s="8">
        <f t="shared" si="21"/>
        <v>41749000</v>
      </c>
      <c r="I329" s="8">
        <f t="shared" si="22"/>
        <v>33399200</v>
      </c>
      <c r="J329" s="8">
        <f t="shared" si="23"/>
        <v>8349800</v>
      </c>
      <c r="K329" s="9">
        <v>45763</v>
      </c>
      <c r="L329" s="10">
        <f>Table1[[#This Row],[Profit]]/Table1[[#This Row],[Sales]]</f>
        <v>0.2</v>
      </c>
    </row>
    <row r="330" spans="1:12">
      <c r="A330" t="s">
        <v>29</v>
      </c>
      <c r="B330" t="s">
        <v>62</v>
      </c>
      <c r="C330" t="s">
        <v>17</v>
      </c>
      <c r="D330" t="s">
        <v>14</v>
      </c>
      <c r="E330" s="7">
        <v>1792</v>
      </c>
      <c r="F330" s="8">
        <v>11500</v>
      </c>
      <c r="G330" s="8">
        <f t="shared" si="20"/>
        <v>14375</v>
      </c>
      <c r="H330" s="8">
        <f t="shared" si="21"/>
        <v>25760000</v>
      </c>
      <c r="I330" s="8">
        <f t="shared" si="22"/>
        <v>20608000</v>
      </c>
      <c r="J330" s="8">
        <f t="shared" si="23"/>
        <v>5152000</v>
      </c>
      <c r="K330" s="9">
        <v>45763</v>
      </c>
      <c r="L330" s="10">
        <f>Table1[[#This Row],[Profit]]/Table1[[#This Row],[Sales]]</f>
        <v>0.2</v>
      </c>
    </row>
    <row r="331" spans="1:12">
      <c r="A331" t="s">
        <v>29</v>
      </c>
      <c r="B331" t="s">
        <v>98</v>
      </c>
      <c r="C331" t="s">
        <v>68</v>
      </c>
      <c r="D331" t="s">
        <v>14</v>
      </c>
      <c r="E331" s="7">
        <v>2741</v>
      </c>
      <c r="F331" s="8">
        <v>18600</v>
      </c>
      <c r="G331" s="8">
        <f t="shared" si="20"/>
        <v>23250</v>
      </c>
      <c r="H331" s="8">
        <f t="shared" si="21"/>
        <v>63728250</v>
      </c>
      <c r="I331" s="8">
        <f t="shared" si="22"/>
        <v>50982600</v>
      </c>
      <c r="J331" s="8">
        <f t="shared" si="23"/>
        <v>12745650</v>
      </c>
      <c r="K331" s="9">
        <v>45764</v>
      </c>
      <c r="L331" s="10">
        <f>Table1[[#This Row],[Profit]]/Table1[[#This Row],[Sales]]</f>
        <v>0.2</v>
      </c>
    </row>
    <row r="332" spans="1:12">
      <c r="A332" t="s">
        <v>29</v>
      </c>
      <c r="B332" t="s">
        <v>39</v>
      </c>
      <c r="C332" t="s">
        <v>27</v>
      </c>
      <c r="D332" t="s">
        <v>14</v>
      </c>
      <c r="E332" s="7">
        <v>318</v>
      </c>
      <c r="F332" s="8">
        <v>3900</v>
      </c>
      <c r="G332" s="8">
        <f t="shared" si="20"/>
        <v>4875</v>
      </c>
      <c r="H332" s="8">
        <f t="shared" si="21"/>
        <v>1550250</v>
      </c>
      <c r="I332" s="8">
        <f t="shared" si="22"/>
        <v>1240200</v>
      </c>
      <c r="J332" s="8">
        <f t="shared" si="23"/>
        <v>310050</v>
      </c>
      <c r="K332" s="9">
        <v>45766</v>
      </c>
      <c r="L332" s="10">
        <f>Table1[[#This Row],[Profit]]/Table1[[#This Row],[Sales]]</f>
        <v>0.2</v>
      </c>
    </row>
    <row r="333" spans="1:12">
      <c r="A333" t="s">
        <v>29</v>
      </c>
      <c r="B333" t="s">
        <v>62</v>
      </c>
      <c r="C333" t="s">
        <v>31</v>
      </c>
      <c r="D333" t="s">
        <v>14</v>
      </c>
      <c r="E333" s="7">
        <v>158</v>
      </c>
      <c r="F333" s="8">
        <v>9000</v>
      </c>
      <c r="G333" s="8">
        <f t="shared" si="20"/>
        <v>11250</v>
      </c>
      <c r="H333" s="8">
        <f t="shared" si="21"/>
        <v>1777500</v>
      </c>
      <c r="I333" s="8">
        <f t="shared" si="22"/>
        <v>1422000</v>
      </c>
      <c r="J333" s="8">
        <f t="shared" si="23"/>
        <v>355500</v>
      </c>
      <c r="K333" s="9">
        <v>45767</v>
      </c>
      <c r="L333" s="10">
        <f>Table1[[#This Row],[Profit]]/Table1[[#This Row],[Sales]]</f>
        <v>0.2</v>
      </c>
    </row>
    <row r="334" spans="1:12">
      <c r="A334" t="s">
        <v>29</v>
      </c>
      <c r="B334" t="s">
        <v>97</v>
      </c>
      <c r="C334" t="s">
        <v>63</v>
      </c>
      <c r="D334" t="s">
        <v>14</v>
      </c>
      <c r="E334" s="7">
        <v>2810</v>
      </c>
      <c r="F334" s="8">
        <v>12900</v>
      </c>
      <c r="G334" s="8">
        <f t="shared" si="20"/>
        <v>16125</v>
      </c>
      <c r="H334" s="8">
        <f t="shared" si="21"/>
        <v>45311250</v>
      </c>
      <c r="I334" s="8">
        <f t="shared" si="22"/>
        <v>36249000</v>
      </c>
      <c r="J334" s="8">
        <f t="shared" si="23"/>
        <v>9062250</v>
      </c>
      <c r="K334" s="9">
        <v>45772</v>
      </c>
      <c r="L334" s="10">
        <f>Table1[[#This Row],[Profit]]/Table1[[#This Row],[Sales]]</f>
        <v>0.2</v>
      </c>
    </row>
    <row r="335" spans="1:12">
      <c r="A335" t="s">
        <v>29</v>
      </c>
      <c r="B335" t="s">
        <v>36</v>
      </c>
      <c r="C335" t="s">
        <v>17</v>
      </c>
      <c r="D335" t="s">
        <v>14</v>
      </c>
      <c r="E335" s="7">
        <v>2772</v>
      </c>
      <c r="F335" s="8">
        <v>8600</v>
      </c>
      <c r="G335" s="8">
        <f t="shared" si="20"/>
        <v>10750</v>
      </c>
      <c r="H335" s="8">
        <f t="shared" si="21"/>
        <v>29799000</v>
      </c>
      <c r="I335" s="8">
        <f t="shared" si="22"/>
        <v>23839200</v>
      </c>
      <c r="J335" s="8">
        <f t="shared" si="23"/>
        <v>5959800</v>
      </c>
      <c r="K335" s="9">
        <v>45773</v>
      </c>
      <c r="L335" s="10">
        <f>Table1[[#This Row],[Profit]]/Table1[[#This Row],[Sales]]</f>
        <v>0.2</v>
      </c>
    </row>
    <row r="336" spans="1:12">
      <c r="A336" t="s">
        <v>29</v>
      </c>
      <c r="B336" t="s">
        <v>26</v>
      </c>
      <c r="C336" t="s">
        <v>17</v>
      </c>
      <c r="D336" t="s">
        <v>14</v>
      </c>
      <c r="E336" s="7">
        <v>2151</v>
      </c>
      <c r="F336" s="8">
        <v>20300</v>
      </c>
      <c r="G336" s="8">
        <f t="shared" si="20"/>
        <v>25375</v>
      </c>
      <c r="H336" s="8">
        <f t="shared" si="21"/>
        <v>54581625</v>
      </c>
      <c r="I336" s="8">
        <f t="shared" si="22"/>
        <v>43665300</v>
      </c>
      <c r="J336" s="8">
        <f t="shared" si="23"/>
        <v>10916325</v>
      </c>
      <c r="K336" s="9">
        <v>45776</v>
      </c>
      <c r="L336" s="10">
        <f>Table1[[#This Row],[Profit]]/Table1[[#This Row],[Sales]]</f>
        <v>0.2</v>
      </c>
    </row>
    <row r="337" spans="1:12">
      <c r="A337" t="s">
        <v>29</v>
      </c>
      <c r="B337" t="s">
        <v>20</v>
      </c>
      <c r="C337" t="s">
        <v>37</v>
      </c>
      <c r="D337" t="s">
        <v>14</v>
      </c>
      <c r="E337" s="7">
        <v>1776</v>
      </c>
      <c r="F337" s="8">
        <v>19300</v>
      </c>
      <c r="G337" s="8">
        <f t="shared" si="20"/>
        <v>24125</v>
      </c>
      <c r="H337" s="8">
        <f t="shared" si="21"/>
        <v>42846000</v>
      </c>
      <c r="I337" s="8">
        <f t="shared" si="22"/>
        <v>34276800</v>
      </c>
      <c r="J337" s="8">
        <f t="shared" si="23"/>
        <v>8569200</v>
      </c>
      <c r="K337" s="9">
        <v>45777</v>
      </c>
      <c r="L337" s="10">
        <f>Table1[[#This Row],[Profit]]/Table1[[#This Row],[Sales]]</f>
        <v>0.2</v>
      </c>
    </row>
    <row r="338" spans="1:12">
      <c r="A338" t="s">
        <v>29</v>
      </c>
      <c r="B338" t="s">
        <v>39</v>
      </c>
      <c r="C338" t="s">
        <v>27</v>
      </c>
      <c r="D338" t="s">
        <v>14</v>
      </c>
      <c r="E338" s="7">
        <v>2687</v>
      </c>
      <c r="F338" s="8">
        <v>7400</v>
      </c>
      <c r="G338" s="8">
        <f t="shared" si="20"/>
        <v>9250</v>
      </c>
      <c r="H338" s="8">
        <f t="shared" si="21"/>
        <v>24854750</v>
      </c>
      <c r="I338" s="8">
        <f t="shared" si="22"/>
        <v>19883800</v>
      </c>
      <c r="J338" s="8">
        <f t="shared" si="23"/>
        <v>4970950</v>
      </c>
      <c r="K338" s="9">
        <v>45778</v>
      </c>
      <c r="L338" s="10">
        <f>Table1[[#This Row],[Profit]]/Table1[[#This Row],[Sales]]</f>
        <v>0.2</v>
      </c>
    </row>
    <row r="339" spans="1:12">
      <c r="A339" t="s">
        <v>29</v>
      </c>
      <c r="B339" t="s">
        <v>98</v>
      </c>
      <c r="C339" t="s">
        <v>31</v>
      </c>
      <c r="D339" t="s">
        <v>14</v>
      </c>
      <c r="E339" s="7">
        <v>1092</v>
      </c>
      <c r="F339" s="8">
        <v>22800</v>
      </c>
      <c r="G339" s="8">
        <f t="shared" si="20"/>
        <v>28500</v>
      </c>
      <c r="H339" s="8">
        <f t="shared" si="21"/>
        <v>31122000</v>
      </c>
      <c r="I339" s="8">
        <f t="shared" si="22"/>
        <v>24897600</v>
      </c>
      <c r="J339" s="8">
        <f t="shared" si="23"/>
        <v>6224400</v>
      </c>
      <c r="K339" s="9">
        <v>45778</v>
      </c>
      <c r="L339" s="10">
        <f>Table1[[#This Row],[Profit]]/Table1[[#This Row],[Sales]]</f>
        <v>0.2</v>
      </c>
    </row>
    <row r="340" spans="1:12">
      <c r="A340" t="s">
        <v>29</v>
      </c>
      <c r="B340" t="s">
        <v>26</v>
      </c>
      <c r="C340" t="s">
        <v>68</v>
      </c>
      <c r="D340" t="s">
        <v>14</v>
      </c>
      <c r="E340" s="7">
        <v>1298</v>
      </c>
      <c r="F340" s="8">
        <v>3000</v>
      </c>
      <c r="G340" s="8">
        <f t="shared" si="20"/>
        <v>3750</v>
      </c>
      <c r="H340" s="8">
        <f t="shared" si="21"/>
        <v>4867500</v>
      </c>
      <c r="I340" s="8">
        <f t="shared" si="22"/>
        <v>3894000</v>
      </c>
      <c r="J340" s="8">
        <f t="shared" si="23"/>
        <v>973500</v>
      </c>
      <c r="K340" s="9">
        <v>45782</v>
      </c>
      <c r="L340" s="10">
        <f>Table1[[#This Row],[Profit]]/Table1[[#This Row],[Sales]]</f>
        <v>0.2</v>
      </c>
    </row>
    <row r="341" spans="1:12">
      <c r="A341" t="s">
        <v>29</v>
      </c>
      <c r="B341" t="s">
        <v>77</v>
      </c>
      <c r="C341" t="s">
        <v>68</v>
      </c>
      <c r="D341" t="s">
        <v>14</v>
      </c>
      <c r="E341" s="7">
        <v>1910</v>
      </c>
      <c r="F341" s="8">
        <v>23100</v>
      </c>
      <c r="G341" s="8">
        <f t="shared" si="20"/>
        <v>28875</v>
      </c>
      <c r="H341" s="8">
        <f t="shared" si="21"/>
        <v>55151250</v>
      </c>
      <c r="I341" s="8">
        <f t="shared" si="22"/>
        <v>44121000</v>
      </c>
      <c r="J341" s="8">
        <f t="shared" si="23"/>
        <v>11030250</v>
      </c>
      <c r="K341" s="9">
        <v>45783</v>
      </c>
      <c r="L341" s="10">
        <f>Table1[[#This Row],[Profit]]/Table1[[#This Row],[Sales]]</f>
        <v>0.2</v>
      </c>
    </row>
    <row r="342" spans="1:12">
      <c r="A342" t="s">
        <v>29</v>
      </c>
      <c r="B342" t="s">
        <v>77</v>
      </c>
      <c r="C342" t="s">
        <v>79</v>
      </c>
      <c r="D342" t="s">
        <v>14</v>
      </c>
      <c r="E342" s="7">
        <v>2916</v>
      </c>
      <c r="F342" s="8">
        <v>6100</v>
      </c>
      <c r="G342" s="8">
        <f t="shared" si="20"/>
        <v>7625</v>
      </c>
      <c r="H342" s="8">
        <f t="shared" si="21"/>
        <v>22234500</v>
      </c>
      <c r="I342" s="8">
        <f t="shared" si="22"/>
        <v>17787600</v>
      </c>
      <c r="J342" s="8">
        <f t="shared" si="23"/>
        <v>4446900</v>
      </c>
      <c r="K342" s="9">
        <v>45785</v>
      </c>
      <c r="L342" s="10">
        <f>Table1[[#This Row],[Profit]]/Table1[[#This Row],[Sales]]</f>
        <v>0.2</v>
      </c>
    </row>
    <row r="343" spans="1:12">
      <c r="A343" t="s">
        <v>29</v>
      </c>
      <c r="B343" t="s">
        <v>88</v>
      </c>
      <c r="C343" t="s">
        <v>34</v>
      </c>
      <c r="D343" t="s">
        <v>14</v>
      </c>
      <c r="E343" s="7">
        <v>1140</v>
      </c>
      <c r="F343" s="8">
        <v>19700</v>
      </c>
      <c r="G343" s="8">
        <f t="shared" si="20"/>
        <v>24625</v>
      </c>
      <c r="H343" s="8">
        <f t="shared" si="21"/>
        <v>28072500</v>
      </c>
      <c r="I343" s="8">
        <f t="shared" si="22"/>
        <v>22458000</v>
      </c>
      <c r="J343" s="8">
        <f t="shared" si="23"/>
        <v>5614500</v>
      </c>
      <c r="K343" s="9">
        <v>45786</v>
      </c>
      <c r="L343" s="10">
        <f>Table1[[#This Row],[Profit]]/Table1[[#This Row],[Sales]]</f>
        <v>0.2</v>
      </c>
    </row>
    <row r="344" spans="1:12">
      <c r="A344" t="s">
        <v>29</v>
      </c>
      <c r="B344" t="s">
        <v>36</v>
      </c>
      <c r="C344" t="s">
        <v>79</v>
      </c>
      <c r="D344" t="s">
        <v>14</v>
      </c>
      <c r="E344" s="7">
        <v>2330</v>
      </c>
      <c r="F344" s="8">
        <v>20700</v>
      </c>
      <c r="G344" s="8">
        <f t="shared" si="20"/>
        <v>25875</v>
      </c>
      <c r="H344" s="8">
        <f t="shared" si="21"/>
        <v>60288750</v>
      </c>
      <c r="I344" s="8">
        <f t="shared" si="22"/>
        <v>48231000</v>
      </c>
      <c r="J344" s="8">
        <f t="shared" si="23"/>
        <v>12057750</v>
      </c>
      <c r="K344" s="9">
        <v>45786</v>
      </c>
      <c r="L344" s="10">
        <f>Table1[[#This Row],[Profit]]/Table1[[#This Row],[Sales]]</f>
        <v>0.2</v>
      </c>
    </row>
    <row r="345" spans="1:12">
      <c r="A345" t="s">
        <v>29</v>
      </c>
      <c r="B345" t="s">
        <v>77</v>
      </c>
      <c r="C345" t="s">
        <v>21</v>
      </c>
      <c r="D345" t="s">
        <v>14</v>
      </c>
      <c r="E345" s="7">
        <v>1752</v>
      </c>
      <c r="F345" s="8">
        <v>18200</v>
      </c>
      <c r="G345" s="8">
        <f t="shared" si="20"/>
        <v>22750</v>
      </c>
      <c r="H345" s="8">
        <f t="shared" si="21"/>
        <v>39858000</v>
      </c>
      <c r="I345" s="8">
        <f t="shared" si="22"/>
        <v>31886400</v>
      </c>
      <c r="J345" s="8">
        <f t="shared" si="23"/>
        <v>7971600</v>
      </c>
      <c r="K345" s="9">
        <v>45788</v>
      </c>
      <c r="L345" s="10">
        <f>Table1[[#This Row],[Profit]]/Table1[[#This Row],[Sales]]</f>
        <v>0.2</v>
      </c>
    </row>
    <row r="346" spans="1:12">
      <c r="A346" t="s">
        <v>29</v>
      </c>
      <c r="B346" t="s">
        <v>51</v>
      </c>
      <c r="C346" t="s">
        <v>63</v>
      </c>
      <c r="D346" t="s">
        <v>14</v>
      </c>
      <c r="E346" s="7">
        <v>1835</v>
      </c>
      <c r="F346" s="8">
        <v>9000</v>
      </c>
      <c r="G346" s="8">
        <f t="shared" si="20"/>
        <v>11250</v>
      </c>
      <c r="H346" s="8">
        <f t="shared" si="21"/>
        <v>20643750</v>
      </c>
      <c r="I346" s="8">
        <f t="shared" si="22"/>
        <v>16515000</v>
      </c>
      <c r="J346" s="8">
        <f t="shared" si="23"/>
        <v>4128750</v>
      </c>
      <c r="K346" s="9">
        <v>45791</v>
      </c>
      <c r="L346" s="10">
        <f>Table1[[#This Row],[Profit]]/Table1[[#This Row],[Sales]]</f>
        <v>0.2</v>
      </c>
    </row>
    <row r="347" spans="1:12">
      <c r="A347" t="s">
        <v>29</v>
      </c>
      <c r="B347" t="s">
        <v>26</v>
      </c>
      <c r="C347" t="s">
        <v>37</v>
      </c>
      <c r="D347" t="s">
        <v>14</v>
      </c>
      <c r="E347" s="7">
        <v>1182</v>
      </c>
      <c r="F347" s="8">
        <v>12200</v>
      </c>
      <c r="G347" s="8">
        <f t="shared" si="20"/>
        <v>15250</v>
      </c>
      <c r="H347" s="8">
        <f t="shared" si="21"/>
        <v>18025500</v>
      </c>
      <c r="I347" s="8">
        <f t="shared" si="22"/>
        <v>14420400</v>
      </c>
      <c r="J347" s="8">
        <f t="shared" si="23"/>
        <v>3605100</v>
      </c>
      <c r="K347" s="9">
        <v>45791</v>
      </c>
      <c r="L347" s="10">
        <f>Table1[[#This Row],[Profit]]/Table1[[#This Row],[Sales]]</f>
        <v>0.2</v>
      </c>
    </row>
    <row r="348" spans="1:12">
      <c r="A348" t="s">
        <v>29</v>
      </c>
      <c r="B348" t="s">
        <v>26</v>
      </c>
      <c r="C348" t="s">
        <v>17</v>
      </c>
      <c r="D348" t="s">
        <v>14</v>
      </c>
      <c r="E348" s="7">
        <v>212</v>
      </c>
      <c r="F348" s="8">
        <v>15900</v>
      </c>
      <c r="G348" s="8">
        <f t="shared" si="20"/>
        <v>19875</v>
      </c>
      <c r="H348" s="8">
        <f t="shared" si="21"/>
        <v>4213500</v>
      </c>
      <c r="I348" s="8">
        <f t="shared" si="22"/>
        <v>3370800</v>
      </c>
      <c r="J348" s="8">
        <f t="shared" si="23"/>
        <v>842700</v>
      </c>
      <c r="K348" s="9">
        <v>45794</v>
      </c>
      <c r="L348" s="10">
        <f>Table1[[#This Row],[Profit]]/Table1[[#This Row],[Sales]]</f>
        <v>0.2</v>
      </c>
    </row>
    <row r="349" spans="1:12">
      <c r="A349" t="s">
        <v>29</v>
      </c>
      <c r="B349" t="s">
        <v>26</v>
      </c>
      <c r="C349" t="s">
        <v>37</v>
      </c>
      <c r="D349" t="s">
        <v>14</v>
      </c>
      <c r="E349" s="7">
        <v>380</v>
      </c>
      <c r="F349" s="8">
        <v>1600</v>
      </c>
      <c r="G349" s="8">
        <f t="shared" si="20"/>
        <v>2000</v>
      </c>
      <c r="H349" s="8">
        <f t="shared" si="21"/>
        <v>760000</v>
      </c>
      <c r="I349" s="8">
        <f t="shared" si="22"/>
        <v>608000</v>
      </c>
      <c r="J349" s="8">
        <f t="shared" si="23"/>
        <v>152000</v>
      </c>
      <c r="K349" s="9">
        <v>45795</v>
      </c>
      <c r="L349" s="10">
        <f>Table1[[#This Row],[Profit]]/Table1[[#This Row],[Sales]]</f>
        <v>0.2</v>
      </c>
    </row>
    <row r="350" spans="1:12">
      <c r="A350" t="s">
        <v>29</v>
      </c>
      <c r="B350" t="s">
        <v>51</v>
      </c>
      <c r="C350" t="s">
        <v>27</v>
      </c>
      <c r="D350" t="s">
        <v>14</v>
      </c>
      <c r="E350" s="7">
        <v>2850</v>
      </c>
      <c r="F350" s="8">
        <v>21400</v>
      </c>
      <c r="G350" s="8">
        <f t="shared" si="20"/>
        <v>26750</v>
      </c>
      <c r="H350" s="8">
        <f t="shared" si="21"/>
        <v>76237500</v>
      </c>
      <c r="I350" s="8">
        <f t="shared" si="22"/>
        <v>60990000</v>
      </c>
      <c r="J350" s="8">
        <f t="shared" si="23"/>
        <v>15247500</v>
      </c>
      <c r="K350" s="9">
        <v>45797</v>
      </c>
      <c r="L350" s="10">
        <f>Table1[[#This Row],[Profit]]/Table1[[#This Row],[Sales]]</f>
        <v>0.2</v>
      </c>
    </row>
    <row r="351" spans="1:12">
      <c r="A351" t="s">
        <v>29</v>
      </c>
      <c r="B351" t="s">
        <v>36</v>
      </c>
      <c r="C351" t="s">
        <v>37</v>
      </c>
      <c r="D351" t="s">
        <v>14</v>
      </c>
      <c r="E351" s="7">
        <v>2009</v>
      </c>
      <c r="F351" s="8">
        <v>7800</v>
      </c>
      <c r="G351" s="8">
        <f t="shared" si="20"/>
        <v>9750</v>
      </c>
      <c r="H351" s="8">
        <f t="shared" si="21"/>
        <v>19587750</v>
      </c>
      <c r="I351" s="8">
        <f t="shared" si="22"/>
        <v>15670200</v>
      </c>
      <c r="J351" s="8">
        <f t="shared" si="23"/>
        <v>3917550</v>
      </c>
      <c r="K351" s="9">
        <v>45797</v>
      </c>
      <c r="L351" s="10">
        <f>Table1[[#This Row],[Profit]]/Table1[[#This Row],[Sales]]</f>
        <v>0.2</v>
      </c>
    </row>
    <row r="352" spans="1:12">
      <c r="A352" t="s">
        <v>29</v>
      </c>
      <c r="B352" t="s">
        <v>36</v>
      </c>
      <c r="C352" t="s">
        <v>63</v>
      </c>
      <c r="D352" t="s">
        <v>14</v>
      </c>
      <c r="E352" s="7">
        <v>489</v>
      </c>
      <c r="F352" s="8">
        <v>14400</v>
      </c>
      <c r="G352" s="8">
        <f t="shared" si="20"/>
        <v>18000</v>
      </c>
      <c r="H352" s="8">
        <f t="shared" si="21"/>
        <v>8802000</v>
      </c>
      <c r="I352" s="8">
        <f t="shared" si="22"/>
        <v>7041600</v>
      </c>
      <c r="J352" s="8">
        <f t="shared" si="23"/>
        <v>1760400</v>
      </c>
      <c r="K352" s="9">
        <v>45801</v>
      </c>
      <c r="L352" s="10">
        <f>Table1[[#This Row],[Profit]]/Table1[[#This Row],[Sales]]</f>
        <v>0.2</v>
      </c>
    </row>
    <row r="353" spans="1:12">
      <c r="A353" t="s">
        <v>29</v>
      </c>
      <c r="B353" t="s">
        <v>39</v>
      </c>
      <c r="C353" t="s">
        <v>37</v>
      </c>
      <c r="D353" t="s">
        <v>14</v>
      </c>
      <c r="E353" s="7">
        <v>1979</v>
      </c>
      <c r="F353" s="8">
        <v>11700</v>
      </c>
      <c r="G353" s="8">
        <f t="shared" si="20"/>
        <v>14625</v>
      </c>
      <c r="H353" s="8">
        <f t="shared" si="21"/>
        <v>28942875</v>
      </c>
      <c r="I353" s="8">
        <f t="shared" si="22"/>
        <v>23154300</v>
      </c>
      <c r="J353" s="8">
        <f t="shared" si="23"/>
        <v>5788575</v>
      </c>
      <c r="K353" s="9">
        <v>45803</v>
      </c>
      <c r="L353" s="10">
        <f>Table1[[#This Row],[Profit]]/Table1[[#This Row],[Sales]]</f>
        <v>0.2</v>
      </c>
    </row>
    <row r="354" spans="1:12">
      <c r="A354" t="s">
        <v>29</v>
      </c>
      <c r="B354" t="s">
        <v>88</v>
      </c>
      <c r="C354" t="s">
        <v>17</v>
      </c>
      <c r="D354" t="s">
        <v>14</v>
      </c>
      <c r="E354" s="7">
        <v>241</v>
      </c>
      <c r="F354" s="8">
        <v>21200</v>
      </c>
      <c r="G354" s="8">
        <f t="shared" si="20"/>
        <v>26500</v>
      </c>
      <c r="H354" s="8">
        <f t="shared" si="21"/>
        <v>6386500</v>
      </c>
      <c r="I354" s="8">
        <f t="shared" si="22"/>
        <v>5109200</v>
      </c>
      <c r="J354" s="8">
        <f t="shared" si="23"/>
        <v>1277300</v>
      </c>
      <c r="K354" s="9">
        <v>45804</v>
      </c>
      <c r="L354" s="10">
        <f>Table1[[#This Row],[Profit]]/Table1[[#This Row],[Sales]]</f>
        <v>0.2</v>
      </c>
    </row>
    <row r="355" spans="1:12">
      <c r="A355" t="s">
        <v>29</v>
      </c>
      <c r="B355" t="s">
        <v>77</v>
      </c>
      <c r="C355" t="s">
        <v>13</v>
      </c>
      <c r="D355" t="s">
        <v>14</v>
      </c>
      <c r="E355" s="7">
        <v>1405</v>
      </c>
      <c r="F355" s="8">
        <v>6100</v>
      </c>
      <c r="G355" s="8">
        <f t="shared" si="20"/>
        <v>7625</v>
      </c>
      <c r="H355" s="8">
        <f t="shared" si="21"/>
        <v>10713125</v>
      </c>
      <c r="I355" s="8">
        <f t="shared" si="22"/>
        <v>8570500</v>
      </c>
      <c r="J355" s="8">
        <f t="shared" si="23"/>
        <v>2142625</v>
      </c>
      <c r="K355" s="9">
        <v>45807</v>
      </c>
      <c r="L355" s="10">
        <f>Table1[[#This Row],[Profit]]/Table1[[#This Row],[Sales]]</f>
        <v>0.2</v>
      </c>
    </row>
    <row r="356" spans="1:12">
      <c r="A356" t="s">
        <v>29</v>
      </c>
      <c r="B356" t="s">
        <v>98</v>
      </c>
      <c r="C356" t="s">
        <v>13</v>
      </c>
      <c r="D356" t="s">
        <v>14</v>
      </c>
      <c r="E356" s="7">
        <v>1260</v>
      </c>
      <c r="F356" s="8">
        <v>18100</v>
      </c>
      <c r="G356" s="8">
        <f t="shared" si="20"/>
        <v>22625</v>
      </c>
      <c r="H356" s="8">
        <f t="shared" si="21"/>
        <v>28507500</v>
      </c>
      <c r="I356" s="8">
        <f t="shared" si="22"/>
        <v>22806000</v>
      </c>
      <c r="J356" s="8">
        <f t="shared" si="23"/>
        <v>5701500</v>
      </c>
      <c r="K356" s="9">
        <v>45807</v>
      </c>
      <c r="L356" s="10">
        <f>Table1[[#This Row],[Profit]]/Table1[[#This Row],[Sales]]</f>
        <v>0.2</v>
      </c>
    </row>
    <row r="357" spans="1:12">
      <c r="A357" t="s">
        <v>29</v>
      </c>
      <c r="B357" t="s">
        <v>98</v>
      </c>
      <c r="C357" t="s">
        <v>79</v>
      </c>
      <c r="D357" t="s">
        <v>14</v>
      </c>
      <c r="E357" s="7">
        <v>1065</v>
      </c>
      <c r="F357" s="8">
        <v>12500</v>
      </c>
      <c r="G357" s="8">
        <f t="shared" si="20"/>
        <v>15625</v>
      </c>
      <c r="H357" s="8">
        <f t="shared" si="21"/>
        <v>16640625</v>
      </c>
      <c r="I357" s="8">
        <f t="shared" si="22"/>
        <v>13312500</v>
      </c>
      <c r="J357" s="8">
        <f t="shared" si="23"/>
        <v>3328125</v>
      </c>
      <c r="K357" s="9">
        <v>45810</v>
      </c>
      <c r="L357" s="10">
        <f>Table1[[#This Row],[Profit]]/Table1[[#This Row],[Sales]]</f>
        <v>0.2</v>
      </c>
    </row>
    <row r="358" spans="1:12">
      <c r="A358" t="s">
        <v>29</v>
      </c>
      <c r="B358" t="s">
        <v>62</v>
      </c>
      <c r="C358" t="s">
        <v>31</v>
      </c>
      <c r="D358" t="s">
        <v>14</v>
      </c>
      <c r="E358" s="7">
        <v>1123</v>
      </c>
      <c r="F358" s="8">
        <v>23900</v>
      </c>
      <c r="G358" s="8">
        <f t="shared" si="20"/>
        <v>29875</v>
      </c>
      <c r="H358" s="8">
        <f t="shared" si="21"/>
        <v>33549625</v>
      </c>
      <c r="I358" s="8">
        <f t="shared" si="22"/>
        <v>26839700</v>
      </c>
      <c r="J358" s="8">
        <f t="shared" si="23"/>
        <v>6709925</v>
      </c>
      <c r="K358" s="9">
        <v>45811</v>
      </c>
      <c r="L358" s="10">
        <f>Table1[[#This Row],[Profit]]/Table1[[#This Row],[Sales]]</f>
        <v>0.2</v>
      </c>
    </row>
    <row r="359" spans="1:12">
      <c r="A359" t="s">
        <v>29</v>
      </c>
      <c r="B359" t="s">
        <v>20</v>
      </c>
      <c r="C359" t="s">
        <v>34</v>
      </c>
      <c r="D359" t="s">
        <v>14</v>
      </c>
      <c r="E359" s="7">
        <v>2465</v>
      </c>
      <c r="F359" s="8">
        <v>3400</v>
      </c>
      <c r="G359" s="8">
        <f t="shared" si="20"/>
        <v>4250</v>
      </c>
      <c r="H359" s="8">
        <f t="shared" si="21"/>
        <v>10476250</v>
      </c>
      <c r="I359" s="8">
        <f t="shared" si="22"/>
        <v>8381000</v>
      </c>
      <c r="J359" s="8">
        <f t="shared" si="23"/>
        <v>2095250</v>
      </c>
      <c r="K359" s="9">
        <v>45812</v>
      </c>
      <c r="L359" s="10">
        <f>Table1[[#This Row],[Profit]]/Table1[[#This Row],[Sales]]</f>
        <v>0.2</v>
      </c>
    </row>
    <row r="360" spans="1:12">
      <c r="A360" t="s">
        <v>29</v>
      </c>
      <c r="B360" t="s">
        <v>20</v>
      </c>
      <c r="C360" t="s">
        <v>31</v>
      </c>
      <c r="D360" t="s">
        <v>14</v>
      </c>
      <c r="E360" s="7">
        <v>2825</v>
      </c>
      <c r="F360" s="8">
        <v>21500</v>
      </c>
      <c r="G360" s="8">
        <f t="shared" si="20"/>
        <v>26875</v>
      </c>
      <c r="H360" s="8">
        <f t="shared" si="21"/>
        <v>75921875</v>
      </c>
      <c r="I360" s="8">
        <f t="shared" si="22"/>
        <v>60737500</v>
      </c>
      <c r="J360" s="8">
        <f t="shared" si="23"/>
        <v>15184375</v>
      </c>
      <c r="K360" s="9">
        <v>45813</v>
      </c>
      <c r="L360" s="10">
        <f>Table1[[#This Row],[Profit]]/Table1[[#This Row],[Sales]]</f>
        <v>0.2</v>
      </c>
    </row>
    <row r="361" spans="1:12">
      <c r="A361" t="s">
        <v>29</v>
      </c>
      <c r="B361" t="s">
        <v>39</v>
      </c>
      <c r="C361" t="s">
        <v>17</v>
      </c>
      <c r="D361" t="s">
        <v>14</v>
      </c>
      <c r="E361" s="7">
        <v>2709</v>
      </c>
      <c r="F361" s="8">
        <v>16500</v>
      </c>
      <c r="G361" s="8">
        <f t="shared" si="20"/>
        <v>20625</v>
      </c>
      <c r="H361" s="8">
        <f t="shared" si="21"/>
        <v>55873125</v>
      </c>
      <c r="I361" s="8">
        <f t="shared" si="22"/>
        <v>44698500</v>
      </c>
      <c r="J361" s="8">
        <f t="shared" si="23"/>
        <v>11174625</v>
      </c>
      <c r="K361" s="9">
        <v>45814</v>
      </c>
      <c r="L361" s="10">
        <f>Table1[[#This Row],[Profit]]/Table1[[#This Row],[Sales]]</f>
        <v>0.2</v>
      </c>
    </row>
    <row r="362" spans="1:12">
      <c r="A362" t="s">
        <v>29</v>
      </c>
      <c r="B362" t="s">
        <v>26</v>
      </c>
      <c r="C362" t="s">
        <v>31</v>
      </c>
      <c r="D362" t="s">
        <v>14</v>
      </c>
      <c r="E362" s="7">
        <v>1631</v>
      </c>
      <c r="F362" s="8">
        <v>4800</v>
      </c>
      <c r="G362" s="8">
        <f t="shared" si="20"/>
        <v>6000</v>
      </c>
      <c r="H362" s="8">
        <f t="shared" si="21"/>
        <v>9786000</v>
      </c>
      <c r="I362" s="8">
        <f t="shared" si="22"/>
        <v>7828800</v>
      </c>
      <c r="J362" s="8">
        <f t="shared" si="23"/>
        <v>1957200</v>
      </c>
      <c r="K362" s="9">
        <v>45815</v>
      </c>
      <c r="L362" s="10">
        <f>Table1[[#This Row],[Profit]]/Table1[[#This Row],[Sales]]</f>
        <v>0.2</v>
      </c>
    </row>
    <row r="363" spans="1:12">
      <c r="A363" t="s">
        <v>29</v>
      </c>
      <c r="B363" t="s">
        <v>98</v>
      </c>
      <c r="C363" t="s">
        <v>63</v>
      </c>
      <c r="D363" t="s">
        <v>14</v>
      </c>
      <c r="E363" s="7">
        <v>1704</v>
      </c>
      <c r="F363" s="8">
        <v>8600</v>
      </c>
      <c r="G363" s="8">
        <f t="shared" si="20"/>
        <v>10750</v>
      </c>
      <c r="H363" s="8">
        <f t="shared" si="21"/>
        <v>18318000</v>
      </c>
      <c r="I363" s="8">
        <f t="shared" si="22"/>
        <v>14654400</v>
      </c>
      <c r="J363" s="8">
        <f t="shared" si="23"/>
        <v>3663600</v>
      </c>
      <c r="K363" s="9">
        <v>45815</v>
      </c>
      <c r="L363" s="10">
        <f>Table1[[#This Row],[Profit]]/Table1[[#This Row],[Sales]]</f>
        <v>0.2</v>
      </c>
    </row>
    <row r="364" spans="1:12">
      <c r="A364" t="s">
        <v>29</v>
      </c>
      <c r="B364" t="s">
        <v>26</v>
      </c>
      <c r="C364" t="s">
        <v>79</v>
      </c>
      <c r="D364" t="s">
        <v>14</v>
      </c>
      <c r="E364" s="7">
        <v>1410</v>
      </c>
      <c r="F364" s="8">
        <v>21300</v>
      </c>
      <c r="G364" s="8">
        <f t="shared" si="20"/>
        <v>26625</v>
      </c>
      <c r="H364" s="8">
        <f t="shared" si="21"/>
        <v>37541250</v>
      </c>
      <c r="I364" s="8">
        <f t="shared" si="22"/>
        <v>30033000</v>
      </c>
      <c r="J364" s="8">
        <f t="shared" si="23"/>
        <v>7508250</v>
      </c>
      <c r="K364" s="9">
        <v>45817</v>
      </c>
      <c r="L364" s="10">
        <f>Table1[[#This Row],[Profit]]/Table1[[#This Row],[Sales]]</f>
        <v>0.2</v>
      </c>
    </row>
    <row r="365" spans="1:12">
      <c r="A365" t="s">
        <v>29</v>
      </c>
      <c r="B365" t="s">
        <v>20</v>
      </c>
      <c r="C365" t="s">
        <v>21</v>
      </c>
      <c r="D365" t="s">
        <v>14</v>
      </c>
      <c r="E365" s="7">
        <v>638</v>
      </c>
      <c r="F365" s="8">
        <v>15500</v>
      </c>
      <c r="G365" s="8">
        <f t="shared" si="20"/>
        <v>19375</v>
      </c>
      <c r="H365" s="8">
        <f t="shared" si="21"/>
        <v>12361250</v>
      </c>
      <c r="I365" s="8">
        <f t="shared" si="22"/>
        <v>9889000</v>
      </c>
      <c r="J365" s="8">
        <f t="shared" si="23"/>
        <v>2472250</v>
      </c>
      <c r="K365" s="9">
        <v>45819</v>
      </c>
      <c r="L365" s="10">
        <f>Table1[[#This Row],[Profit]]/Table1[[#This Row],[Sales]]</f>
        <v>0.2</v>
      </c>
    </row>
    <row r="366" spans="1:12">
      <c r="A366" t="s">
        <v>29</v>
      </c>
      <c r="B366" t="s">
        <v>62</v>
      </c>
      <c r="C366" t="s">
        <v>13</v>
      </c>
      <c r="D366" t="s">
        <v>14</v>
      </c>
      <c r="E366" s="7">
        <v>2481</v>
      </c>
      <c r="F366" s="8">
        <v>1700</v>
      </c>
      <c r="G366" s="8">
        <f t="shared" si="20"/>
        <v>2125</v>
      </c>
      <c r="H366" s="8">
        <f t="shared" si="21"/>
        <v>5272125</v>
      </c>
      <c r="I366" s="8">
        <f t="shared" si="22"/>
        <v>4217700</v>
      </c>
      <c r="J366" s="8">
        <f t="shared" si="23"/>
        <v>1054425</v>
      </c>
      <c r="K366" s="9">
        <v>45819</v>
      </c>
      <c r="L366" s="10">
        <f>Table1[[#This Row],[Profit]]/Table1[[#This Row],[Sales]]</f>
        <v>0.2</v>
      </c>
    </row>
    <row r="367" spans="1:12">
      <c r="A367" t="s">
        <v>29</v>
      </c>
      <c r="B367" t="s">
        <v>88</v>
      </c>
      <c r="C367" t="s">
        <v>17</v>
      </c>
      <c r="D367" t="s">
        <v>14</v>
      </c>
      <c r="E367" s="7">
        <v>1715</v>
      </c>
      <c r="F367" s="8">
        <v>21100</v>
      </c>
      <c r="G367" s="8">
        <f t="shared" si="20"/>
        <v>26375</v>
      </c>
      <c r="H367" s="8">
        <f t="shared" si="21"/>
        <v>45233125</v>
      </c>
      <c r="I367" s="8">
        <f t="shared" si="22"/>
        <v>36186500</v>
      </c>
      <c r="J367" s="8">
        <f t="shared" si="23"/>
        <v>9046625</v>
      </c>
      <c r="K367" s="9">
        <v>45819</v>
      </c>
      <c r="L367" s="10">
        <f>Table1[[#This Row],[Profit]]/Table1[[#This Row],[Sales]]</f>
        <v>0.2</v>
      </c>
    </row>
    <row r="368" spans="1:12">
      <c r="A368" t="s">
        <v>29</v>
      </c>
      <c r="B368" t="s">
        <v>26</v>
      </c>
      <c r="C368" t="s">
        <v>31</v>
      </c>
      <c r="D368" t="s">
        <v>14</v>
      </c>
      <c r="E368" s="7">
        <v>2915</v>
      </c>
      <c r="F368" s="8">
        <v>24000</v>
      </c>
      <c r="G368" s="8">
        <f t="shared" si="20"/>
        <v>30000</v>
      </c>
      <c r="H368" s="8">
        <f t="shared" si="21"/>
        <v>87450000</v>
      </c>
      <c r="I368" s="8">
        <f t="shared" si="22"/>
        <v>69960000</v>
      </c>
      <c r="J368" s="8">
        <f t="shared" si="23"/>
        <v>17490000</v>
      </c>
      <c r="K368" s="9">
        <v>45822</v>
      </c>
      <c r="L368" s="10">
        <f>Table1[[#This Row],[Profit]]/Table1[[#This Row],[Sales]]</f>
        <v>0.2</v>
      </c>
    </row>
    <row r="369" spans="1:12">
      <c r="A369" t="s">
        <v>29</v>
      </c>
      <c r="B369" t="s">
        <v>36</v>
      </c>
      <c r="C369" t="s">
        <v>13</v>
      </c>
      <c r="D369" t="s">
        <v>14</v>
      </c>
      <c r="E369" s="7">
        <v>1701</v>
      </c>
      <c r="F369" s="8">
        <v>2800</v>
      </c>
      <c r="G369" s="8">
        <f t="shared" si="20"/>
        <v>3500</v>
      </c>
      <c r="H369" s="8">
        <f t="shared" si="21"/>
        <v>5953500</v>
      </c>
      <c r="I369" s="8">
        <f t="shared" si="22"/>
        <v>4762800</v>
      </c>
      <c r="J369" s="8">
        <f t="shared" si="23"/>
        <v>1190700</v>
      </c>
      <c r="K369" s="9">
        <v>45824</v>
      </c>
      <c r="L369" s="10">
        <f>Table1[[#This Row],[Profit]]/Table1[[#This Row],[Sales]]</f>
        <v>0.2</v>
      </c>
    </row>
    <row r="370" spans="1:12">
      <c r="A370" t="s">
        <v>29</v>
      </c>
      <c r="B370" t="s">
        <v>98</v>
      </c>
      <c r="C370" t="s">
        <v>63</v>
      </c>
      <c r="D370" t="s">
        <v>14</v>
      </c>
      <c r="E370" s="7">
        <v>1492</v>
      </c>
      <c r="F370" s="8">
        <v>9100</v>
      </c>
      <c r="G370" s="8">
        <f t="shared" si="20"/>
        <v>11375</v>
      </c>
      <c r="H370" s="8">
        <f t="shared" si="21"/>
        <v>16971500</v>
      </c>
      <c r="I370" s="8">
        <f t="shared" si="22"/>
        <v>13577200</v>
      </c>
      <c r="J370" s="8">
        <f t="shared" si="23"/>
        <v>3394300</v>
      </c>
      <c r="K370" s="9">
        <v>45824</v>
      </c>
      <c r="L370" s="10">
        <f>Table1[[#This Row],[Profit]]/Table1[[#This Row],[Sales]]</f>
        <v>0.2</v>
      </c>
    </row>
    <row r="371" spans="1:12">
      <c r="A371" t="s">
        <v>29</v>
      </c>
      <c r="B371" t="s">
        <v>98</v>
      </c>
      <c r="C371" t="s">
        <v>17</v>
      </c>
      <c r="D371" t="s">
        <v>14</v>
      </c>
      <c r="E371" s="7">
        <v>2163</v>
      </c>
      <c r="F371" s="8">
        <v>10400</v>
      </c>
      <c r="G371" s="8">
        <f t="shared" si="20"/>
        <v>13000</v>
      </c>
      <c r="H371" s="8">
        <f t="shared" si="21"/>
        <v>28119000</v>
      </c>
      <c r="I371" s="8">
        <f t="shared" si="22"/>
        <v>22495200</v>
      </c>
      <c r="J371" s="8">
        <f t="shared" si="23"/>
        <v>5623800</v>
      </c>
      <c r="K371" s="9">
        <v>45826</v>
      </c>
      <c r="L371" s="10">
        <f>Table1[[#This Row],[Profit]]/Table1[[#This Row],[Sales]]</f>
        <v>0.2</v>
      </c>
    </row>
    <row r="372" spans="1:12">
      <c r="A372" t="s">
        <v>29</v>
      </c>
      <c r="B372" t="s">
        <v>62</v>
      </c>
      <c r="C372" t="s">
        <v>17</v>
      </c>
      <c r="D372" t="s">
        <v>14</v>
      </c>
      <c r="E372" s="7">
        <v>1727</v>
      </c>
      <c r="F372" s="8">
        <v>6000</v>
      </c>
      <c r="G372" s="8">
        <f t="shared" si="20"/>
        <v>7500</v>
      </c>
      <c r="H372" s="8">
        <f t="shared" si="21"/>
        <v>12952500</v>
      </c>
      <c r="I372" s="8">
        <f t="shared" si="22"/>
        <v>10362000</v>
      </c>
      <c r="J372" s="8">
        <f t="shared" si="23"/>
        <v>2590500</v>
      </c>
      <c r="K372" s="9">
        <v>45830</v>
      </c>
      <c r="L372" s="10">
        <f>Table1[[#This Row],[Profit]]/Table1[[#This Row],[Sales]]</f>
        <v>0.2</v>
      </c>
    </row>
    <row r="373" spans="1:12">
      <c r="A373" t="s">
        <v>29</v>
      </c>
      <c r="B373" t="s">
        <v>88</v>
      </c>
      <c r="C373" t="s">
        <v>34</v>
      </c>
      <c r="D373" t="s">
        <v>14</v>
      </c>
      <c r="E373" s="7">
        <v>287</v>
      </c>
      <c r="F373" s="8">
        <v>24000</v>
      </c>
      <c r="G373" s="8">
        <f t="shared" si="20"/>
        <v>30000</v>
      </c>
      <c r="H373" s="8">
        <f t="shared" si="21"/>
        <v>8610000</v>
      </c>
      <c r="I373" s="8">
        <f t="shared" si="22"/>
        <v>6888000</v>
      </c>
      <c r="J373" s="8">
        <f t="shared" si="23"/>
        <v>1722000</v>
      </c>
      <c r="K373" s="9">
        <v>45831</v>
      </c>
      <c r="L373" s="10">
        <f>Table1[[#This Row],[Profit]]/Table1[[#This Row],[Sales]]</f>
        <v>0.2</v>
      </c>
    </row>
    <row r="374" spans="1:12">
      <c r="A374" t="s">
        <v>29</v>
      </c>
      <c r="B374" t="s">
        <v>62</v>
      </c>
      <c r="C374" t="s">
        <v>31</v>
      </c>
      <c r="D374" t="s">
        <v>14</v>
      </c>
      <c r="E374" s="7">
        <v>1941</v>
      </c>
      <c r="F374" s="8">
        <v>18300</v>
      </c>
      <c r="G374" s="8">
        <f t="shared" si="20"/>
        <v>22875</v>
      </c>
      <c r="H374" s="8">
        <f t="shared" si="21"/>
        <v>44400375</v>
      </c>
      <c r="I374" s="8">
        <f t="shared" si="22"/>
        <v>35520300</v>
      </c>
      <c r="J374" s="8">
        <f t="shared" si="23"/>
        <v>8880075</v>
      </c>
      <c r="K374" s="9">
        <v>45835</v>
      </c>
      <c r="L374" s="10">
        <f>Table1[[#This Row],[Profit]]/Table1[[#This Row],[Sales]]</f>
        <v>0.2</v>
      </c>
    </row>
    <row r="375" spans="1:12">
      <c r="A375" t="s">
        <v>29</v>
      </c>
      <c r="B375" t="s">
        <v>51</v>
      </c>
      <c r="C375" t="s">
        <v>68</v>
      </c>
      <c r="D375" t="s">
        <v>14</v>
      </c>
      <c r="E375" s="7">
        <v>232</v>
      </c>
      <c r="F375" s="8">
        <v>11800</v>
      </c>
      <c r="G375" s="8">
        <f t="shared" si="20"/>
        <v>14750</v>
      </c>
      <c r="H375" s="8">
        <f t="shared" si="21"/>
        <v>3422000</v>
      </c>
      <c r="I375" s="8">
        <f t="shared" si="22"/>
        <v>2737600</v>
      </c>
      <c r="J375" s="8">
        <f t="shared" si="23"/>
        <v>684400</v>
      </c>
      <c r="K375" s="9">
        <v>45835</v>
      </c>
      <c r="L375" s="10">
        <f>Table1[[#This Row],[Profit]]/Table1[[#This Row],[Sales]]</f>
        <v>0.2</v>
      </c>
    </row>
    <row r="376" spans="1:12">
      <c r="A376" t="s">
        <v>29</v>
      </c>
      <c r="B376" t="s">
        <v>98</v>
      </c>
      <c r="C376" t="s">
        <v>34</v>
      </c>
      <c r="D376" t="s">
        <v>14</v>
      </c>
      <c r="E376" s="7">
        <v>2405</v>
      </c>
      <c r="F376" s="8">
        <v>19100</v>
      </c>
      <c r="G376" s="8">
        <f t="shared" si="20"/>
        <v>23875</v>
      </c>
      <c r="H376" s="8">
        <f t="shared" si="21"/>
        <v>57419375</v>
      </c>
      <c r="I376" s="8">
        <f t="shared" si="22"/>
        <v>45935500</v>
      </c>
      <c r="J376" s="8">
        <f t="shared" si="23"/>
        <v>11483875</v>
      </c>
      <c r="K376" s="9">
        <v>45836</v>
      </c>
      <c r="L376" s="10">
        <f>Table1[[#This Row],[Profit]]/Table1[[#This Row],[Sales]]</f>
        <v>0.2</v>
      </c>
    </row>
    <row r="377" spans="1:12">
      <c r="A377" t="s">
        <v>29</v>
      </c>
      <c r="B377" t="s">
        <v>39</v>
      </c>
      <c r="C377" t="s">
        <v>34</v>
      </c>
      <c r="D377" t="s">
        <v>14</v>
      </c>
      <c r="E377" s="7">
        <v>1226</v>
      </c>
      <c r="F377" s="8">
        <v>22000</v>
      </c>
      <c r="G377" s="8">
        <f t="shared" si="20"/>
        <v>27500</v>
      </c>
      <c r="H377" s="8">
        <f t="shared" si="21"/>
        <v>33715000</v>
      </c>
      <c r="I377" s="8">
        <f t="shared" si="22"/>
        <v>26972000</v>
      </c>
      <c r="J377" s="8">
        <f t="shared" si="23"/>
        <v>6743000</v>
      </c>
      <c r="K377" s="9">
        <v>45838</v>
      </c>
      <c r="L377" s="10">
        <f>Table1[[#This Row],[Profit]]/Table1[[#This Row],[Sales]]</f>
        <v>0.2</v>
      </c>
    </row>
    <row r="378" spans="1:12">
      <c r="A378" t="s">
        <v>29</v>
      </c>
      <c r="B378" t="s">
        <v>39</v>
      </c>
      <c r="C378" t="s">
        <v>63</v>
      </c>
      <c r="D378" t="s">
        <v>14</v>
      </c>
      <c r="E378" s="7">
        <v>2104</v>
      </c>
      <c r="F378" s="8">
        <v>8200</v>
      </c>
      <c r="G378" s="8">
        <f t="shared" si="20"/>
        <v>10250</v>
      </c>
      <c r="H378" s="8">
        <f t="shared" si="21"/>
        <v>21566000</v>
      </c>
      <c r="I378" s="8">
        <f t="shared" si="22"/>
        <v>17252800</v>
      </c>
      <c r="J378" s="8">
        <f t="shared" si="23"/>
        <v>4313200</v>
      </c>
      <c r="K378" s="9">
        <v>45839</v>
      </c>
      <c r="L378" s="10">
        <f>Table1[[#This Row],[Profit]]/Table1[[#This Row],[Sales]]</f>
        <v>0.2</v>
      </c>
    </row>
    <row r="379" spans="1:12">
      <c r="A379" t="s">
        <v>29</v>
      </c>
      <c r="B379" t="s">
        <v>36</v>
      </c>
      <c r="C379" t="s">
        <v>21</v>
      </c>
      <c r="D379" t="s">
        <v>14</v>
      </c>
      <c r="E379" s="7">
        <v>1640</v>
      </c>
      <c r="F379" s="8">
        <v>15000</v>
      </c>
      <c r="G379" s="8">
        <f t="shared" si="20"/>
        <v>18750</v>
      </c>
      <c r="H379" s="8">
        <f t="shared" si="21"/>
        <v>30750000</v>
      </c>
      <c r="I379" s="8">
        <f t="shared" si="22"/>
        <v>24600000</v>
      </c>
      <c r="J379" s="8">
        <f t="shared" si="23"/>
        <v>6150000</v>
      </c>
      <c r="K379" s="9">
        <v>45841</v>
      </c>
      <c r="L379" s="10">
        <f>Table1[[#This Row],[Profit]]/Table1[[#This Row],[Sales]]</f>
        <v>0.2</v>
      </c>
    </row>
    <row r="380" spans="1:12">
      <c r="A380" t="s">
        <v>29</v>
      </c>
      <c r="B380" t="s">
        <v>39</v>
      </c>
      <c r="C380" t="s">
        <v>17</v>
      </c>
      <c r="D380" t="s">
        <v>14</v>
      </c>
      <c r="E380" s="7">
        <v>637</v>
      </c>
      <c r="F380" s="8">
        <v>17400</v>
      </c>
      <c r="G380" s="8">
        <f t="shared" si="20"/>
        <v>21750</v>
      </c>
      <c r="H380" s="8">
        <f t="shared" si="21"/>
        <v>13854750</v>
      </c>
      <c r="I380" s="8">
        <f t="shared" si="22"/>
        <v>11083800</v>
      </c>
      <c r="J380" s="8">
        <f t="shared" si="23"/>
        <v>2770950</v>
      </c>
      <c r="K380" s="9">
        <v>45843</v>
      </c>
      <c r="L380" s="10">
        <f>Table1[[#This Row],[Profit]]/Table1[[#This Row],[Sales]]</f>
        <v>0.2</v>
      </c>
    </row>
    <row r="381" spans="1:12">
      <c r="A381" t="s">
        <v>29</v>
      </c>
      <c r="B381" t="s">
        <v>77</v>
      </c>
      <c r="C381" t="s">
        <v>27</v>
      </c>
      <c r="D381" t="s">
        <v>14</v>
      </c>
      <c r="E381" s="7">
        <v>594</v>
      </c>
      <c r="F381" s="8">
        <v>12000</v>
      </c>
      <c r="G381" s="8">
        <f t="shared" si="20"/>
        <v>15000</v>
      </c>
      <c r="H381" s="8">
        <f t="shared" si="21"/>
        <v>8910000</v>
      </c>
      <c r="I381" s="8">
        <f t="shared" si="22"/>
        <v>7128000</v>
      </c>
      <c r="J381" s="8">
        <f t="shared" si="23"/>
        <v>1782000</v>
      </c>
      <c r="K381" s="9">
        <v>45848</v>
      </c>
      <c r="L381" s="10">
        <f>Table1[[#This Row],[Profit]]/Table1[[#This Row],[Sales]]</f>
        <v>0.2</v>
      </c>
    </row>
    <row r="382" spans="1:12">
      <c r="A382" t="s">
        <v>29</v>
      </c>
      <c r="B382" t="s">
        <v>20</v>
      </c>
      <c r="C382" t="s">
        <v>68</v>
      </c>
      <c r="D382" t="s">
        <v>14</v>
      </c>
      <c r="E382" s="7">
        <v>497</v>
      </c>
      <c r="F382" s="8">
        <v>24700</v>
      </c>
      <c r="G382" s="8">
        <f t="shared" si="20"/>
        <v>30875</v>
      </c>
      <c r="H382" s="8">
        <f t="shared" si="21"/>
        <v>15344875</v>
      </c>
      <c r="I382" s="8">
        <f t="shared" si="22"/>
        <v>12275900</v>
      </c>
      <c r="J382" s="8">
        <f t="shared" si="23"/>
        <v>3068975</v>
      </c>
      <c r="K382" s="9">
        <v>45850</v>
      </c>
      <c r="L382" s="10">
        <f>Table1[[#This Row],[Profit]]/Table1[[#This Row],[Sales]]</f>
        <v>0.2</v>
      </c>
    </row>
    <row r="383" spans="1:12">
      <c r="A383" t="s">
        <v>29</v>
      </c>
      <c r="B383" t="s">
        <v>26</v>
      </c>
      <c r="C383" t="s">
        <v>63</v>
      </c>
      <c r="D383" t="s">
        <v>14</v>
      </c>
      <c r="E383" s="7">
        <v>594</v>
      </c>
      <c r="F383" s="8">
        <v>18900</v>
      </c>
      <c r="G383" s="8">
        <f t="shared" si="20"/>
        <v>23625</v>
      </c>
      <c r="H383" s="8">
        <f t="shared" si="21"/>
        <v>14033250</v>
      </c>
      <c r="I383" s="8">
        <f t="shared" si="22"/>
        <v>11226600</v>
      </c>
      <c r="J383" s="8">
        <f t="shared" si="23"/>
        <v>2806650</v>
      </c>
      <c r="K383" s="9">
        <v>45850</v>
      </c>
      <c r="L383" s="10">
        <f>Table1[[#This Row],[Profit]]/Table1[[#This Row],[Sales]]</f>
        <v>0.2</v>
      </c>
    </row>
    <row r="384" spans="1:12">
      <c r="A384" t="s">
        <v>29</v>
      </c>
      <c r="B384" t="s">
        <v>98</v>
      </c>
      <c r="C384" t="s">
        <v>79</v>
      </c>
      <c r="D384" t="s">
        <v>14</v>
      </c>
      <c r="E384" s="7">
        <v>2293</v>
      </c>
      <c r="F384" s="8">
        <v>19000</v>
      </c>
      <c r="G384" s="8">
        <f t="shared" si="20"/>
        <v>23750</v>
      </c>
      <c r="H384" s="8">
        <f t="shared" si="21"/>
        <v>54458750</v>
      </c>
      <c r="I384" s="8">
        <f t="shared" si="22"/>
        <v>43567000</v>
      </c>
      <c r="J384" s="8">
        <f t="shared" si="23"/>
        <v>10891750</v>
      </c>
      <c r="K384" s="9">
        <v>45857</v>
      </c>
      <c r="L384" s="10">
        <f>Table1[[#This Row],[Profit]]/Table1[[#This Row],[Sales]]</f>
        <v>0.2</v>
      </c>
    </row>
    <row r="385" spans="1:12">
      <c r="A385" t="s">
        <v>29</v>
      </c>
      <c r="B385" t="s">
        <v>26</v>
      </c>
      <c r="C385" t="s">
        <v>21</v>
      </c>
      <c r="D385" t="s">
        <v>14</v>
      </c>
      <c r="E385" s="7">
        <v>1547</v>
      </c>
      <c r="F385" s="8">
        <v>10304</v>
      </c>
      <c r="G385" s="8">
        <f t="shared" si="20"/>
        <v>12875</v>
      </c>
      <c r="H385" s="8">
        <f t="shared" si="21"/>
        <v>19917625</v>
      </c>
      <c r="I385" s="8">
        <f t="shared" si="22"/>
        <v>15940288</v>
      </c>
      <c r="J385" s="8">
        <f t="shared" si="23"/>
        <v>3977337</v>
      </c>
      <c r="K385" s="9">
        <v>45859</v>
      </c>
      <c r="L385" s="10">
        <f>Table1[[#This Row],[Profit]]/Table1[[#This Row],[Sales]]</f>
        <v>0.19968932038834952</v>
      </c>
    </row>
    <row r="386" spans="1:12">
      <c r="A386" t="s">
        <v>29</v>
      </c>
      <c r="B386" t="s">
        <v>36</v>
      </c>
      <c r="C386" t="s">
        <v>21</v>
      </c>
      <c r="D386" t="s">
        <v>14</v>
      </c>
      <c r="E386" s="7">
        <v>2478</v>
      </c>
      <c r="F386" s="8">
        <v>18300</v>
      </c>
      <c r="G386" s="8">
        <f t="shared" ref="G386:G449" si="24">ROUNDDOWN(F386/100,0)*100*1.25</f>
        <v>22875</v>
      </c>
      <c r="H386" s="8">
        <f t="shared" ref="H386:H449" si="25">E386*G386</f>
        <v>56684250</v>
      </c>
      <c r="I386" s="8">
        <f t="shared" ref="I386:I449" si="26">E386*F386</f>
        <v>45347400</v>
      </c>
      <c r="J386" s="8">
        <f t="shared" ref="J386:J449" si="27">H386-I386</f>
        <v>11336850</v>
      </c>
      <c r="K386" s="9">
        <v>45864</v>
      </c>
      <c r="L386" s="10">
        <f>Table1[[#This Row],[Profit]]/Table1[[#This Row],[Sales]]</f>
        <v>0.2</v>
      </c>
    </row>
    <row r="387" spans="1:12">
      <c r="A387" t="s">
        <v>29</v>
      </c>
      <c r="B387" t="s">
        <v>51</v>
      </c>
      <c r="C387" t="s">
        <v>68</v>
      </c>
      <c r="D387" t="s">
        <v>14</v>
      </c>
      <c r="E387" s="7">
        <v>923</v>
      </c>
      <c r="F387" s="8">
        <v>22100</v>
      </c>
      <c r="G387" s="8">
        <f t="shared" si="24"/>
        <v>27625</v>
      </c>
      <c r="H387" s="8">
        <f t="shared" si="25"/>
        <v>25497875</v>
      </c>
      <c r="I387" s="8">
        <f t="shared" si="26"/>
        <v>20398300</v>
      </c>
      <c r="J387" s="8">
        <f t="shared" si="27"/>
        <v>5099575</v>
      </c>
      <c r="K387" s="9">
        <v>45871</v>
      </c>
      <c r="L387" s="10">
        <f>Table1[[#This Row],[Profit]]/Table1[[#This Row],[Sales]]</f>
        <v>0.2</v>
      </c>
    </row>
    <row r="388" spans="1:12">
      <c r="A388" t="s">
        <v>29</v>
      </c>
      <c r="B388" t="s">
        <v>36</v>
      </c>
      <c r="C388" t="s">
        <v>21</v>
      </c>
      <c r="D388" t="s">
        <v>14</v>
      </c>
      <c r="E388" s="7">
        <v>330</v>
      </c>
      <c r="F388" s="8">
        <v>17200</v>
      </c>
      <c r="G388" s="8">
        <f t="shared" si="24"/>
        <v>21500</v>
      </c>
      <c r="H388" s="8">
        <f t="shared" si="25"/>
        <v>7095000</v>
      </c>
      <c r="I388" s="8">
        <f t="shared" si="26"/>
        <v>5676000</v>
      </c>
      <c r="J388" s="8">
        <f t="shared" si="27"/>
        <v>1419000</v>
      </c>
      <c r="K388" s="9">
        <v>45873</v>
      </c>
      <c r="L388" s="10">
        <f>Table1[[#This Row],[Profit]]/Table1[[#This Row],[Sales]]</f>
        <v>0.2</v>
      </c>
    </row>
    <row r="389" spans="1:12">
      <c r="A389" t="s">
        <v>29</v>
      </c>
      <c r="B389" t="s">
        <v>77</v>
      </c>
      <c r="C389" t="s">
        <v>68</v>
      </c>
      <c r="D389" t="s">
        <v>14</v>
      </c>
      <c r="E389" s="7">
        <v>1417</v>
      </c>
      <c r="F389" s="8">
        <v>2300</v>
      </c>
      <c r="G389" s="8">
        <f t="shared" si="24"/>
        <v>2875</v>
      </c>
      <c r="H389" s="8">
        <f t="shared" si="25"/>
        <v>4073875</v>
      </c>
      <c r="I389" s="8">
        <f t="shared" si="26"/>
        <v>3259100</v>
      </c>
      <c r="J389" s="8">
        <f t="shared" si="27"/>
        <v>814775</v>
      </c>
      <c r="K389" s="9">
        <v>45875</v>
      </c>
      <c r="L389" s="10">
        <f>Table1[[#This Row],[Profit]]/Table1[[#This Row],[Sales]]</f>
        <v>0.2</v>
      </c>
    </row>
    <row r="390" spans="1:12">
      <c r="A390" t="s">
        <v>29</v>
      </c>
      <c r="B390" t="s">
        <v>62</v>
      </c>
      <c r="C390" t="s">
        <v>68</v>
      </c>
      <c r="D390" t="s">
        <v>14</v>
      </c>
      <c r="E390" s="7">
        <v>1189</v>
      </c>
      <c r="F390" s="8">
        <v>14500</v>
      </c>
      <c r="G390" s="8">
        <f t="shared" si="24"/>
        <v>18125</v>
      </c>
      <c r="H390" s="8">
        <f t="shared" si="25"/>
        <v>21550625</v>
      </c>
      <c r="I390" s="8">
        <f t="shared" si="26"/>
        <v>17240500</v>
      </c>
      <c r="J390" s="8">
        <f t="shared" si="27"/>
        <v>4310125</v>
      </c>
      <c r="K390" s="9">
        <v>45876</v>
      </c>
      <c r="L390" s="10">
        <f>Table1[[#This Row],[Profit]]/Table1[[#This Row],[Sales]]</f>
        <v>0.2</v>
      </c>
    </row>
    <row r="391" spans="1:12">
      <c r="A391" t="s">
        <v>29</v>
      </c>
      <c r="B391" t="s">
        <v>51</v>
      </c>
      <c r="C391" t="s">
        <v>79</v>
      </c>
      <c r="D391" t="s">
        <v>14</v>
      </c>
      <c r="E391" s="7">
        <v>1806</v>
      </c>
      <c r="F391" s="8">
        <v>22200</v>
      </c>
      <c r="G391" s="8">
        <f t="shared" si="24"/>
        <v>27750</v>
      </c>
      <c r="H391" s="8">
        <f t="shared" si="25"/>
        <v>50116500</v>
      </c>
      <c r="I391" s="8">
        <f t="shared" si="26"/>
        <v>40093200</v>
      </c>
      <c r="J391" s="8">
        <f t="shared" si="27"/>
        <v>10023300</v>
      </c>
      <c r="K391" s="9">
        <v>45877</v>
      </c>
      <c r="L391" s="10">
        <f>Table1[[#This Row],[Profit]]/Table1[[#This Row],[Sales]]</f>
        <v>0.2</v>
      </c>
    </row>
    <row r="392" spans="1:12">
      <c r="A392" t="s">
        <v>29</v>
      </c>
      <c r="B392" t="s">
        <v>98</v>
      </c>
      <c r="C392" t="s">
        <v>27</v>
      </c>
      <c r="D392" t="s">
        <v>14</v>
      </c>
      <c r="E392" s="7">
        <v>1378</v>
      </c>
      <c r="F392" s="8">
        <v>19300</v>
      </c>
      <c r="G392" s="8">
        <f t="shared" si="24"/>
        <v>24125</v>
      </c>
      <c r="H392" s="8">
        <f t="shared" si="25"/>
        <v>33244250</v>
      </c>
      <c r="I392" s="8">
        <f t="shared" si="26"/>
        <v>26595400</v>
      </c>
      <c r="J392" s="8">
        <f t="shared" si="27"/>
        <v>6648850</v>
      </c>
      <c r="K392" s="9">
        <v>45878</v>
      </c>
      <c r="L392" s="10">
        <f>Table1[[#This Row],[Profit]]/Table1[[#This Row],[Sales]]</f>
        <v>0.2</v>
      </c>
    </row>
    <row r="393" spans="1:12">
      <c r="A393" t="s">
        <v>29</v>
      </c>
      <c r="B393" t="s">
        <v>39</v>
      </c>
      <c r="C393" t="s">
        <v>34</v>
      </c>
      <c r="D393" t="s">
        <v>14</v>
      </c>
      <c r="E393" s="7">
        <v>2276</v>
      </c>
      <c r="F393" s="8">
        <v>12700</v>
      </c>
      <c r="G393" s="8">
        <f t="shared" si="24"/>
        <v>15875</v>
      </c>
      <c r="H393" s="8">
        <f t="shared" si="25"/>
        <v>36131500</v>
      </c>
      <c r="I393" s="8">
        <f t="shared" si="26"/>
        <v>28905200</v>
      </c>
      <c r="J393" s="8">
        <f t="shared" si="27"/>
        <v>7226300</v>
      </c>
      <c r="K393" s="9">
        <v>45878</v>
      </c>
      <c r="L393" s="10">
        <f>Table1[[#This Row],[Profit]]/Table1[[#This Row],[Sales]]</f>
        <v>0.2</v>
      </c>
    </row>
    <row r="394" spans="1:12">
      <c r="A394" t="s">
        <v>29</v>
      </c>
      <c r="B394" t="s">
        <v>98</v>
      </c>
      <c r="C394" t="s">
        <v>21</v>
      </c>
      <c r="D394" t="s">
        <v>14</v>
      </c>
      <c r="E394" s="7">
        <v>2713</v>
      </c>
      <c r="F394" s="8">
        <v>15000</v>
      </c>
      <c r="G394" s="8">
        <f t="shared" si="24"/>
        <v>18750</v>
      </c>
      <c r="H394" s="8">
        <f t="shared" si="25"/>
        <v>50868750</v>
      </c>
      <c r="I394" s="8">
        <f t="shared" si="26"/>
        <v>40695000</v>
      </c>
      <c r="J394" s="8">
        <f t="shared" si="27"/>
        <v>10173750</v>
      </c>
      <c r="K394" s="9">
        <v>45883</v>
      </c>
      <c r="L394" s="10">
        <f>Table1[[#This Row],[Profit]]/Table1[[#This Row],[Sales]]</f>
        <v>0.2</v>
      </c>
    </row>
    <row r="395" spans="1:12">
      <c r="A395" t="s">
        <v>29</v>
      </c>
      <c r="B395" t="s">
        <v>62</v>
      </c>
      <c r="C395" t="s">
        <v>31</v>
      </c>
      <c r="D395" t="s">
        <v>14</v>
      </c>
      <c r="E395" s="7">
        <v>2586</v>
      </c>
      <c r="F395" s="8">
        <v>4300</v>
      </c>
      <c r="G395" s="8">
        <f t="shared" si="24"/>
        <v>5375</v>
      </c>
      <c r="H395" s="8">
        <f t="shared" si="25"/>
        <v>13899750</v>
      </c>
      <c r="I395" s="8">
        <f t="shared" si="26"/>
        <v>11119800</v>
      </c>
      <c r="J395" s="8">
        <f t="shared" si="27"/>
        <v>2779950</v>
      </c>
      <c r="K395" s="9">
        <v>45884</v>
      </c>
      <c r="L395" s="10">
        <f>Table1[[#This Row],[Profit]]/Table1[[#This Row],[Sales]]</f>
        <v>0.2</v>
      </c>
    </row>
    <row r="396" spans="1:12">
      <c r="A396" t="s">
        <v>29</v>
      </c>
      <c r="B396" t="s">
        <v>77</v>
      </c>
      <c r="C396" t="s">
        <v>34</v>
      </c>
      <c r="D396" t="s">
        <v>14</v>
      </c>
      <c r="E396" s="7">
        <v>2108</v>
      </c>
      <c r="F396" s="8">
        <v>17500</v>
      </c>
      <c r="G396" s="8">
        <f t="shared" si="24"/>
        <v>21875</v>
      </c>
      <c r="H396" s="8">
        <f t="shared" si="25"/>
        <v>46112500</v>
      </c>
      <c r="I396" s="8">
        <f t="shared" si="26"/>
        <v>36890000</v>
      </c>
      <c r="J396" s="8">
        <f t="shared" si="27"/>
        <v>9222500</v>
      </c>
      <c r="K396" s="9">
        <v>45884</v>
      </c>
      <c r="L396" s="10">
        <f>Table1[[#This Row],[Profit]]/Table1[[#This Row],[Sales]]</f>
        <v>0.2</v>
      </c>
    </row>
    <row r="397" spans="1:12">
      <c r="A397" t="s">
        <v>29</v>
      </c>
      <c r="B397" t="s">
        <v>98</v>
      </c>
      <c r="C397" t="s">
        <v>17</v>
      </c>
      <c r="D397" t="s">
        <v>14</v>
      </c>
      <c r="E397" s="7">
        <v>2302</v>
      </c>
      <c r="F397" s="8">
        <v>16000</v>
      </c>
      <c r="G397" s="8">
        <f t="shared" si="24"/>
        <v>20000</v>
      </c>
      <c r="H397" s="8">
        <f t="shared" si="25"/>
        <v>46040000</v>
      </c>
      <c r="I397" s="8">
        <f t="shared" si="26"/>
        <v>36832000</v>
      </c>
      <c r="J397" s="8">
        <f t="shared" si="27"/>
        <v>9208000</v>
      </c>
      <c r="K397" s="9">
        <v>45885</v>
      </c>
      <c r="L397" s="10">
        <f>Table1[[#This Row],[Profit]]/Table1[[#This Row],[Sales]]</f>
        <v>0.2</v>
      </c>
    </row>
    <row r="398" spans="1:12">
      <c r="A398" t="s">
        <v>29</v>
      </c>
      <c r="B398" t="s">
        <v>51</v>
      </c>
      <c r="C398" t="s">
        <v>31</v>
      </c>
      <c r="D398" t="s">
        <v>14</v>
      </c>
      <c r="E398" s="7">
        <v>752</v>
      </c>
      <c r="F398" s="8">
        <v>21900</v>
      </c>
      <c r="G398" s="8">
        <f t="shared" si="24"/>
        <v>27375</v>
      </c>
      <c r="H398" s="8">
        <f t="shared" si="25"/>
        <v>20586000</v>
      </c>
      <c r="I398" s="8">
        <f t="shared" si="26"/>
        <v>16468800</v>
      </c>
      <c r="J398" s="8">
        <f t="shared" si="27"/>
        <v>4117200</v>
      </c>
      <c r="K398" s="9">
        <v>45886</v>
      </c>
      <c r="L398" s="10">
        <f>Table1[[#This Row],[Profit]]/Table1[[#This Row],[Sales]]</f>
        <v>0.2</v>
      </c>
    </row>
    <row r="399" spans="1:12">
      <c r="A399" t="s">
        <v>29</v>
      </c>
      <c r="B399" t="s">
        <v>26</v>
      </c>
      <c r="C399" t="s">
        <v>79</v>
      </c>
      <c r="D399" t="s">
        <v>14</v>
      </c>
      <c r="E399" s="7">
        <v>2485</v>
      </c>
      <c r="F399" s="8">
        <v>4100</v>
      </c>
      <c r="G399" s="8">
        <f t="shared" si="24"/>
        <v>5125</v>
      </c>
      <c r="H399" s="8">
        <f t="shared" si="25"/>
        <v>12735625</v>
      </c>
      <c r="I399" s="8">
        <f t="shared" si="26"/>
        <v>10188500</v>
      </c>
      <c r="J399" s="8">
        <f t="shared" si="27"/>
        <v>2547125</v>
      </c>
      <c r="K399" s="9">
        <v>45887</v>
      </c>
      <c r="L399" s="10">
        <f>Table1[[#This Row],[Profit]]/Table1[[#This Row],[Sales]]</f>
        <v>0.2</v>
      </c>
    </row>
    <row r="400" spans="1:12">
      <c r="A400" t="s">
        <v>29</v>
      </c>
      <c r="B400" t="s">
        <v>98</v>
      </c>
      <c r="C400" t="s">
        <v>37</v>
      </c>
      <c r="D400" t="s">
        <v>14</v>
      </c>
      <c r="E400" s="7">
        <v>694</v>
      </c>
      <c r="F400" s="8">
        <v>23900</v>
      </c>
      <c r="G400" s="8">
        <f t="shared" si="24"/>
        <v>29875</v>
      </c>
      <c r="H400" s="8">
        <f t="shared" si="25"/>
        <v>20733250</v>
      </c>
      <c r="I400" s="8">
        <f t="shared" si="26"/>
        <v>16586600</v>
      </c>
      <c r="J400" s="8">
        <f t="shared" si="27"/>
        <v>4146650</v>
      </c>
      <c r="K400" s="9">
        <v>45889</v>
      </c>
      <c r="L400" s="10">
        <f>Table1[[#This Row],[Profit]]/Table1[[#This Row],[Sales]]</f>
        <v>0.2</v>
      </c>
    </row>
    <row r="401" spans="1:12">
      <c r="A401" t="s">
        <v>29</v>
      </c>
      <c r="B401" t="s">
        <v>39</v>
      </c>
      <c r="C401" t="s">
        <v>34</v>
      </c>
      <c r="D401" t="s">
        <v>14</v>
      </c>
      <c r="E401" s="7">
        <v>2072</v>
      </c>
      <c r="F401" s="8">
        <v>14700</v>
      </c>
      <c r="G401" s="8">
        <f t="shared" si="24"/>
        <v>18375</v>
      </c>
      <c r="H401" s="8">
        <f t="shared" si="25"/>
        <v>38073000</v>
      </c>
      <c r="I401" s="8">
        <f t="shared" si="26"/>
        <v>30458400</v>
      </c>
      <c r="J401" s="8">
        <f t="shared" si="27"/>
        <v>7614600</v>
      </c>
      <c r="K401" s="9">
        <v>45890</v>
      </c>
      <c r="L401" s="10">
        <f>Table1[[#This Row],[Profit]]/Table1[[#This Row],[Sales]]</f>
        <v>0.2</v>
      </c>
    </row>
    <row r="402" spans="1:12">
      <c r="A402" t="s">
        <v>29</v>
      </c>
      <c r="B402" t="s">
        <v>77</v>
      </c>
      <c r="C402" t="s">
        <v>13</v>
      </c>
      <c r="D402" t="s">
        <v>14</v>
      </c>
      <c r="E402" s="7">
        <v>2813</v>
      </c>
      <c r="F402" s="8">
        <v>19500</v>
      </c>
      <c r="G402" s="8">
        <f t="shared" si="24"/>
        <v>24375</v>
      </c>
      <c r="H402" s="8">
        <f t="shared" si="25"/>
        <v>68566875</v>
      </c>
      <c r="I402" s="8">
        <f t="shared" si="26"/>
        <v>54853500</v>
      </c>
      <c r="J402" s="8">
        <f t="shared" si="27"/>
        <v>13713375</v>
      </c>
      <c r="K402" s="9">
        <v>45893</v>
      </c>
      <c r="L402" s="10">
        <f>Table1[[#This Row],[Profit]]/Table1[[#This Row],[Sales]]</f>
        <v>0.2</v>
      </c>
    </row>
    <row r="403" spans="1:12">
      <c r="A403" t="s">
        <v>29</v>
      </c>
      <c r="B403" t="s">
        <v>97</v>
      </c>
      <c r="C403" t="s">
        <v>34</v>
      </c>
      <c r="D403" t="s">
        <v>14</v>
      </c>
      <c r="E403" s="7">
        <v>1887</v>
      </c>
      <c r="F403" s="8">
        <v>5300</v>
      </c>
      <c r="G403" s="8">
        <f t="shared" si="24"/>
        <v>6625</v>
      </c>
      <c r="H403" s="8">
        <f t="shared" si="25"/>
        <v>12501375</v>
      </c>
      <c r="I403" s="8">
        <f t="shared" si="26"/>
        <v>10001100</v>
      </c>
      <c r="J403" s="8">
        <f t="shared" si="27"/>
        <v>2500275</v>
      </c>
      <c r="K403" s="9">
        <v>45893</v>
      </c>
      <c r="L403" s="10">
        <f>Table1[[#This Row],[Profit]]/Table1[[#This Row],[Sales]]</f>
        <v>0.2</v>
      </c>
    </row>
    <row r="404" spans="1:12">
      <c r="A404" t="s">
        <v>29</v>
      </c>
      <c r="B404" t="s">
        <v>97</v>
      </c>
      <c r="C404" t="s">
        <v>79</v>
      </c>
      <c r="D404" t="s">
        <v>14</v>
      </c>
      <c r="E404" s="7">
        <v>1968</v>
      </c>
      <c r="F404" s="8">
        <v>24000</v>
      </c>
      <c r="G404" s="8">
        <f t="shared" si="24"/>
        <v>30000</v>
      </c>
      <c r="H404" s="8">
        <f t="shared" si="25"/>
        <v>59040000</v>
      </c>
      <c r="I404" s="8">
        <f t="shared" si="26"/>
        <v>47232000</v>
      </c>
      <c r="J404" s="8">
        <f t="shared" si="27"/>
        <v>11808000</v>
      </c>
      <c r="K404" s="9">
        <v>45894</v>
      </c>
      <c r="L404" s="10">
        <f>Table1[[#This Row],[Profit]]/Table1[[#This Row],[Sales]]</f>
        <v>0.2</v>
      </c>
    </row>
    <row r="405" spans="1:12">
      <c r="A405" t="s">
        <v>29</v>
      </c>
      <c r="B405" t="s">
        <v>36</v>
      </c>
      <c r="C405" t="s">
        <v>68</v>
      </c>
      <c r="D405" t="s">
        <v>14</v>
      </c>
      <c r="E405" s="7">
        <v>2580</v>
      </c>
      <c r="F405" s="8">
        <v>20300</v>
      </c>
      <c r="G405" s="8">
        <f t="shared" si="24"/>
        <v>25375</v>
      </c>
      <c r="H405" s="8">
        <f t="shared" si="25"/>
        <v>65467500</v>
      </c>
      <c r="I405" s="8">
        <f t="shared" si="26"/>
        <v>52374000</v>
      </c>
      <c r="J405" s="8">
        <f t="shared" si="27"/>
        <v>13093500</v>
      </c>
      <c r="K405" s="9">
        <v>45894</v>
      </c>
      <c r="L405" s="10">
        <f>Table1[[#This Row],[Profit]]/Table1[[#This Row],[Sales]]</f>
        <v>0.2</v>
      </c>
    </row>
    <row r="406" spans="1:12">
      <c r="A406" t="s">
        <v>29</v>
      </c>
      <c r="B406" t="s">
        <v>88</v>
      </c>
      <c r="C406" t="s">
        <v>21</v>
      </c>
      <c r="D406" t="s">
        <v>14</v>
      </c>
      <c r="E406" s="7">
        <v>2513</v>
      </c>
      <c r="F406" s="8">
        <v>2900</v>
      </c>
      <c r="G406" s="8">
        <f t="shared" si="24"/>
        <v>3625</v>
      </c>
      <c r="H406" s="8">
        <f t="shared" si="25"/>
        <v>9109625</v>
      </c>
      <c r="I406" s="8">
        <f t="shared" si="26"/>
        <v>7287700</v>
      </c>
      <c r="J406" s="8">
        <f t="shared" si="27"/>
        <v>1821925</v>
      </c>
      <c r="K406" s="9">
        <v>45894</v>
      </c>
      <c r="L406" s="10">
        <f>Table1[[#This Row],[Profit]]/Table1[[#This Row],[Sales]]</f>
        <v>0.2</v>
      </c>
    </row>
    <row r="407" spans="1:12">
      <c r="A407" t="s">
        <v>29</v>
      </c>
      <c r="B407" t="s">
        <v>77</v>
      </c>
      <c r="C407" t="s">
        <v>27</v>
      </c>
      <c r="D407" t="s">
        <v>14</v>
      </c>
      <c r="E407" s="7">
        <v>2546</v>
      </c>
      <c r="F407" s="8">
        <v>10000</v>
      </c>
      <c r="G407" s="8">
        <f t="shared" si="24"/>
        <v>12500</v>
      </c>
      <c r="H407" s="8">
        <f t="shared" si="25"/>
        <v>31825000</v>
      </c>
      <c r="I407" s="8">
        <f t="shared" si="26"/>
        <v>25460000</v>
      </c>
      <c r="J407" s="8">
        <f t="shared" si="27"/>
        <v>6365000</v>
      </c>
      <c r="K407" s="9">
        <v>45896</v>
      </c>
      <c r="L407" s="10">
        <f>Table1[[#This Row],[Profit]]/Table1[[#This Row],[Sales]]</f>
        <v>0.2</v>
      </c>
    </row>
    <row r="408" spans="1:12">
      <c r="A408" t="s">
        <v>29</v>
      </c>
      <c r="B408" t="s">
        <v>62</v>
      </c>
      <c r="C408" t="s">
        <v>63</v>
      </c>
      <c r="D408" t="s">
        <v>14</v>
      </c>
      <c r="E408" s="7">
        <v>359</v>
      </c>
      <c r="F408" s="8">
        <v>4500</v>
      </c>
      <c r="G408" s="8">
        <f t="shared" si="24"/>
        <v>5625</v>
      </c>
      <c r="H408" s="8">
        <f t="shared" si="25"/>
        <v>2019375</v>
      </c>
      <c r="I408" s="8">
        <f t="shared" si="26"/>
        <v>1615500</v>
      </c>
      <c r="J408" s="8">
        <f t="shared" si="27"/>
        <v>403875</v>
      </c>
      <c r="K408" s="9">
        <v>45897</v>
      </c>
      <c r="L408" s="10">
        <f>Table1[[#This Row],[Profit]]/Table1[[#This Row],[Sales]]</f>
        <v>0.2</v>
      </c>
    </row>
    <row r="409" spans="1:12">
      <c r="A409" t="s">
        <v>29</v>
      </c>
      <c r="B409" t="s">
        <v>26</v>
      </c>
      <c r="C409" t="s">
        <v>79</v>
      </c>
      <c r="D409" t="s">
        <v>14</v>
      </c>
      <c r="E409" s="7">
        <v>2646</v>
      </c>
      <c r="F409" s="8">
        <v>16500</v>
      </c>
      <c r="G409" s="8">
        <f t="shared" si="24"/>
        <v>20625</v>
      </c>
      <c r="H409" s="8">
        <f t="shared" si="25"/>
        <v>54573750</v>
      </c>
      <c r="I409" s="8">
        <f t="shared" si="26"/>
        <v>43659000</v>
      </c>
      <c r="J409" s="8">
        <f t="shared" si="27"/>
        <v>10914750</v>
      </c>
      <c r="K409" s="9">
        <v>45899</v>
      </c>
      <c r="L409" s="10">
        <f>Table1[[#This Row],[Profit]]/Table1[[#This Row],[Sales]]</f>
        <v>0.2</v>
      </c>
    </row>
    <row r="410" spans="1:12">
      <c r="A410" t="s">
        <v>29</v>
      </c>
      <c r="B410" t="s">
        <v>77</v>
      </c>
      <c r="C410" t="s">
        <v>31</v>
      </c>
      <c r="D410" t="s">
        <v>14</v>
      </c>
      <c r="E410" s="7">
        <v>2080</v>
      </c>
      <c r="F410" s="8">
        <v>7300</v>
      </c>
      <c r="G410" s="8">
        <f t="shared" si="24"/>
        <v>9125</v>
      </c>
      <c r="H410" s="8">
        <f t="shared" si="25"/>
        <v>18980000</v>
      </c>
      <c r="I410" s="8">
        <f t="shared" si="26"/>
        <v>15184000</v>
      </c>
      <c r="J410" s="8">
        <f t="shared" si="27"/>
        <v>3796000</v>
      </c>
      <c r="K410" s="9">
        <v>45899</v>
      </c>
      <c r="L410" s="10">
        <f>Table1[[#This Row],[Profit]]/Table1[[#This Row],[Sales]]</f>
        <v>0.2</v>
      </c>
    </row>
    <row r="411" spans="1:12">
      <c r="A411" t="s">
        <v>29</v>
      </c>
      <c r="B411" t="s">
        <v>97</v>
      </c>
      <c r="C411" t="s">
        <v>31</v>
      </c>
      <c r="D411" t="s">
        <v>14</v>
      </c>
      <c r="E411" s="7">
        <v>1333</v>
      </c>
      <c r="F411" s="8">
        <v>7000</v>
      </c>
      <c r="G411" s="8">
        <f t="shared" si="24"/>
        <v>8750</v>
      </c>
      <c r="H411" s="8">
        <f t="shared" si="25"/>
        <v>11663750</v>
      </c>
      <c r="I411" s="8">
        <f t="shared" si="26"/>
        <v>9331000</v>
      </c>
      <c r="J411" s="8">
        <f t="shared" si="27"/>
        <v>2332750</v>
      </c>
      <c r="K411" s="9">
        <v>45900</v>
      </c>
      <c r="L411" s="10">
        <f>Table1[[#This Row],[Profit]]/Table1[[#This Row],[Sales]]</f>
        <v>0.2</v>
      </c>
    </row>
    <row r="412" spans="1:12">
      <c r="A412" t="s">
        <v>29</v>
      </c>
      <c r="B412" t="s">
        <v>97</v>
      </c>
      <c r="C412" t="s">
        <v>27</v>
      </c>
      <c r="D412" t="s">
        <v>14</v>
      </c>
      <c r="E412" s="7">
        <v>339</v>
      </c>
      <c r="F412" s="8">
        <v>9800</v>
      </c>
      <c r="G412" s="8">
        <f t="shared" si="24"/>
        <v>12250</v>
      </c>
      <c r="H412" s="8">
        <f t="shared" si="25"/>
        <v>4152750</v>
      </c>
      <c r="I412" s="8">
        <f t="shared" si="26"/>
        <v>3322200</v>
      </c>
      <c r="J412" s="8">
        <f t="shared" si="27"/>
        <v>830550</v>
      </c>
      <c r="K412" s="9">
        <v>45900</v>
      </c>
      <c r="L412" s="10">
        <f>Table1[[#This Row],[Profit]]/Table1[[#This Row],[Sales]]</f>
        <v>0.2</v>
      </c>
    </row>
    <row r="413" spans="1:12">
      <c r="A413" t="s">
        <v>29</v>
      </c>
      <c r="B413" t="s">
        <v>98</v>
      </c>
      <c r="C413" t="s">
        <v>27</v>
      </c>
      <c r="D413" t="s">
        <v>14</v>
      </c>
      <c r="E413" s="7">
        <v>989</v>
      </c>
      <c r="F413" s="8">
        <v>14400</v>
      </c>
      <c r="G413" s="8">
        <f t="shared" si="24"/>
        <v>18000</v>
      </c>
      <c r="H413" s="8">
        <f t="shared" si="25"/>
        <v>17802000</v>
      </c>
      <c r="I413" s="8">
        <f t="shared" si="26"/>
        <v>14241600</v>
      </c>
      <c r="J413" s="8">
        <f t="shared" si="27"/>
        <v>3560400</v>
      </c>
      <c r="K413" s="9">
        <v>45902</v>
      </c>
      <c r="L413" s="10">
        <f>Table1[[#This Row],[Profit]]/Table1[[#This Row],[Sales]]</f>
        <v>0.2</v>
      </c>
    </row>
    <row r="414" spans="1:12">
      <c r="A414" t="s">
        <v>29</v>
      </c>
      <c r="B414" t="s">
        <v>26</v>
      </c>
      <c r="C414" t="s">
        <v>63</v>
      </c>
      <c r="D414" t="s">
        <v>14</v>
      </c>
      <c r="E414" s="7">
        <v>373</v>
      </c>
      <c r="F414" s="8">
        <v>12100</v>
      </c>
      <c r="G414" s="8">
        <f t="shared" si="24"/>
        <v>15125</v>
      </c>
      <c r="H414" s="8">
        <f t="shared" si="25"/>
        <v>5641625</v>
      </c>
      <c r="I414" s="8">
        <f t="shared" si="26"/>
        <v>4513300</v>
      </c>
      <c r="J414" s="8">
        <f t="shared" si="27"/>
        <v>1128325</v>
      </c>
      <c r="K414" s="9">
        <v>45902</v>
      </c>
      <c r="L414" s="10">
        <f>Table1[[#This Row],[Profit]]/Table1[[#This Row],[Sales]]</f>
        <v>0.2</v>
      </c>
    </row>
    <row r="415" spans="1:12">
      <c r="A415" t="s">
        <v>29</v>
      </c>
      <c r="B415" t="s">
        <v>88</v>
      </c>
      <c r="C415" t="s">
        <v>27</v>
      </c>
      <c r="D415" t="s">
        <v>14</v>
      </c>
      <c r="E415" s="7">
        <v>1838</v>
      </c>
      <c r="F415" s="8">
        <v>2700</v>
      </c>
      <c r="G415" s="8">
        <f t="shared" si="24"/>
        <v>3375</v>
      </c>
      <c r="H415" s="8">
        <f t="shared" si="25"/>
        <v>6203250</v>
      </c>
      <c r="I415" s="8">
        <f t="shared" si="26"/>
        <v>4962600</v>
      </c>
      <c r="J415" s="8">
        <f t="shared" si="27"/>
        <v>1240650</v>
      </c>
      <c r="K415" s="9">
        <v>45905</v>
      </c>
      <c r="L415" s="10">
        <f>Table1[[#This Row],[Profit]]/Table1[[#This Row],[Sales]]</f>
        <v>0.2</v>
      </c>
    </row>
    <row r="416" spans="1:12">
      <c r="A416" t="s">
        <v>29</v>
      </c>
      <c r="B416" t="s">
        <v>39</v>
      </c>
      <c r="C416" t="s">
        <v>63</v>
      </c>
      <c r="D416" t="s">
        <v>14</v>
      </c>
      <c r="E416" s="7">
        <v>941</v>
      </c>
      <c r="F416" s="8">
        <v>6800</v>
      </c>
      <c r="G416" s="8">
        <f t="shared" si="24"/>
        <v>8500</v>
      </c>
      <c r="H416" s="8">
        <f t="shared" si="25"/>
        <v>7998500</v>
      </c>
      <c r="I416" s="8">
        <f t="shared" si="26"/>
        <v>6398800</v>
      </c>
      <c r="J416" s="8">
        <f t="shared" si="27"/>
        <v>1599700</v>
      </c>
      <c r="K416" s="9">
        <v>45905</v>
      </c>
      <c r="L416" s="10">
        <f>Table1[[#This Row],[Profit]]/Table1[[#This Row],[Sales]]</f>
        <v>0.2</v>
      </c>
    </row>
    <row r="417" spans="1:12">
      <c r="A417" t="s">
        <v>29</v>
      </c>
      <c r="B417" t="s">
        <v>98</v>
      </c>
      <c r="C417" t="s">
        <v>37</v>
      </c>
      <c r="D417" t="s">
        <v>14</v>
      </c>
      <c r="E417" s="7">
        <v>489</v>
      </c>
      <c r="F417" s="8">
        <v>14500</v>
      </c>
      <c r="G417" s="8">
        <f t="shared" si="24"/>
        <v>18125</v>
      </c>
      <c r="H417" s="8">
        <f t="shared" si="25"/>
        <v>8863125</v>
      </c>
      <c r="I417" s="8">
        <f t="shared" si="26"/>
        <v>7090500</v>
      </c>
      <c r="J417" s="8">
        <f t="shared" si="27"/>
        <v>1772625</v>
      </c>
      <c r="K417" s="9">
        <v>45906</v>
      </c>
      <c r="L417" s="10">
        <f>Table1[[#This Row],[Profit]]/Table1[[#This Row],[Sales]]</f>
        <v>0.2</v>
      </c>
    </row>
    <row r="418" spans="1:12">
      <c r="A418" t="s">
        <v>29</v>
      </c>
      <c r="B418" t="s">
        <v>77</v>
      </c>
      <c r="C418" t="s">
        <v>21</v>
      </c>
      <c r="D418" t="s">
        <v>14</v>
      </c>
      <c r="E418" s="7">
        <v>134</v>
      </c>
      <c r="F418" s="8">
        <v>4100</v>
      </c>
      <c r="G418" s="8">
        <f t="shared" si="24"/>
        <v>5125</v>
      </c>
      <c r="H418" s="8">
        <f t="shared" si="25"/>
        <v>686750</v>
      </c>
      <c r="I418" s="8">
        <f t="shared" si="26"/>
        <v>549400</v>
      </c>
      <c r="J418" s="8">
        <f t="shared" si="27"/>
        <v>137350</v>
      </c>
      <c r="K418" s="9">
        <v>45906</v>
      </c>
      <c r="L418" s="10">
        <f>Table1[[#This Row],[Profit]]/Table1[[#This Row],[Sales]]</f>
        <v>0.2</v>
      </c>
    </row>
    <row r="419" spans="1:12">
      <c r="A419" t="s">
        <v>29</v>
      </c>
      <c r="B419" t="s">
        <v>97</v>
      </c>
      <c r="C419" t="s">
        <v>68</v>
      </c>
      <c r="D419" t="s">
        <v>14</v>
      </c>
      <c r="E419" s="7">
        <v>1973</v>
      </c>
      <c r="F419" s="8">
        <v>17100</v>
      </c>
      <c r="G419" s="8">
        <f t="shared" si="24"/>
        <v>21375</v>
      </c>
      <c r="H419" s="8">
        <f t="shared" si="25"/>
        <v>42172875</v>
      </c>
      <c r="I419" s="8">
        <f t="shared" si="26"/>
        <v>33738300</v>
      </c>
      <c r="J419" s="8">
        <f t="shared" si="27"/>
        <v>8434575</v>
      </c>
      <c r="K419" s="9">
        <v>45906</v>
      </c>
      <c r="L419" s="10">
        <f>Table1[[#This Row],[Profit]]/Table1[[#This Row],[Sales]]</f>
        <v>0.2</v>
      </c>
    </row>
    <row r="420" spans="1:12">
      <c r="A420" t="s">
        <v>29</v>
      </c>
      <c r="B420" t="s">
        <v>97</v>
      </c>
      <c r="C420" t="s">
        <v>37</v>
      </c>
      <c r="D420" t="s">
        <v>14</v>
      </c>
      <c r="E420" s="7">
        <v>2164</v>
      </c>
      <c r="F420" s="8">
        <v>8800</v>
      </c>
      <c r="G420" s="8">
        <f t="shared" si="24"/>
        <v>11000</v>
      </c>
      <c r="H420" s="8">
        <f t="shared" si="25"/>
        <v>23804000</v>
      </c>
      <c r="I420" s="8">
        <f t="shared" si="26"/>
        <v>19043200</v>
      </c>
      <c r="J420" s="8">
        <f t="shared" si="27"/>
        <v>4760800</v>
      </c>
      <c r="K420" s="9">
        <v>45909</v>
      </c>
      <c r="L420" s="10">
        <f>Table1[[#This Row],[Profit]]/Table1[[#This Row],[Sales]]</f>
        <v>0.2</v>
      </c>
    </row>
    <row r="421" spans="1:12">
      <c r="A421" t="s">
        <v>29</v>
      </c>
      <c r="B421" t="s">
        <v>97</v>
      </c>
      <c r="C421" t="s">
        <v>31</v>
      </c>
      <c r="D421" t="s">
        <v>14</v>
      </c>
      <c r="E421" s="7">
        <v>1313</v>
      </c>
      <c r="F421" s="8">
        <v>12500</v>
      </c>
      <c r="G421" s="8">
        <f t="shared" si="24"/>
        <v>15625</v>
      </c>
      <c r="H421" s="8">
        <f t="shared" si="25"/>
        <v>20515625</v>
      </c>
      <c r="I421" s="8">
        <f t="shared" si="26"/>
        <v>16412500</v>
      </c>
      <c r="J421" s="8">
        <f t="shared" si="27"/>
        <v>4103125</v>
      </c>
      <c r="K421" s="9">
        <v>45912</v>
      </c>
      <c r="L421" s="10">
        <f>Table1[[#This Row],[Profit]]/Table1[[#This Row],[Sales]]</f>
        <v>0.2</v>
      </c>
    </row>
    <row r="422" spans="1:12">
      <c r="A422" t="s">
        <v>29</v>
      </c>
      <c r="B422" t="s">
        <v>51</v>
      </c>
      <c r="C422" t="s">
        <v>37</v>
      </c>
      <c r="D422" t="s">
        <v>14</v>
      </c>
      <c r="E422" s="7">
        <v>700</v>
      </c>
      <c r="F422" s="8">
        <v>19300</v>
      </c>
      <c r="G422" s="8">
        <f t="shared" si="24"/>
        <v>24125</v>
      </c>
      <c r="H422" s="8">
        <f t="shared" si="25"/>
        <v>16887500</v>
      </c>
      <c r="I422" s="8">
        <f t="shared" si="26"/>
        <v>13510000</v>
      </c>
      <c r="J422" s="8">
        <f t="shared" si="27"/>
        <v>3377500</v>
      </c>
      <c r="K422" s="9">
        <v>45913</v>
      </c>
      <c r="L422" s="10">
        <f>Table1[[#This Row],[Profit]]/Table1[[#This Row],[Sales]]</f>
        <v>0.2</v>
      </c>
    </row>
    <row r="423" spans="1:12">
      <c r="A423" t="s">
        <v>29</v>
      </c>
      <c r="B423" t="s">
        <v>62</v>
      </c>
      <c r="C423" t="s">
        <v>13</v>
      </c>
      <c r="D423" t="s">
        <v>14</v>
      </c>
      <c r="E423" s="7">
        <v>1707</v>
      </c>
      <c r="F423" s="8">
        <v>10800</v>
      </c>
      <c r="G423" s="8">
        <f t="shared" si="24"/>
        <v>13500</v>
      </c>
      <c r="H423" s="8">
        <f t="shared" si="25"/>
        <v>23044500</v>
      </c>
      <c r="I423" s="8">
        <f t="shared" si="26"/>
        <v>18435600</v>
      </c>
      <c r="J423" s="8">
        <f t="shared" si="27"/>
        <v>4608900</v>
      </c>
      <c r="K423" s="9">
        <v>45913</v>
      </c>
      <c r="L423" s="10">
        <f>Table1[[#This Row],[Profit]]/Table1[[#This Row],[Sales]]</f>
        <v>0.2</v>
      </c>
    </row>
    <row r="424" spans="1:12">
      <c r="A424" t="s">
        <v>29</v>
      </c>
      <c r="B424" t="s">
        <v>98</v>
      </c>
      <c r="C424" t="s">
        <v>68</v>
      </c>
      <c r="D424" t="s">
        <v>14</v>
      </c>
      <c r="E424" s="7">
        <v>1240</v>
      </c>
      <c r="F424" s="8">
        <v>18600</v>
      </c>
      <c r="G424" s="8">
        <f t="shared" si="24"/>
        <v>23250</v>
      </c>
      <c r="H424" s="8">
        <f t="shared" si="25"/>
        <v>28830000</v>
      </c>
      <c r="I424" s="8">
        <f t="shared" si="26"/>
        <v>23064000</v>
      </c>
      <c r="J424" s="8">
        <f t="shared" si="27"/>
        <v>5766000</v>
      </c>
      <c r="K424" s="9">
        <v>45913</v>
      </c>
      <c r="L424" s="10">
        <f>Table1[[#This Row],[Profit]]/Table1[[#This Row],[Sales]]</f>
        <v>0.2</v>
      </c>
    </row>
    <row r="425" spans="1:12">
      <c r="A425" t="s">
        <v>29</v>
      </c>
      <c r="B425" t="s">
        <v>88</v>
      </c>
      <c r="C425" t="s">
        <v>27</v>
      </c>
      <c r="D425" t="s">
        <v>14</v>
      </c>
      <c r="E425" s="7">
        <v>1131</v>
      </c>
      <c r="F425" s="8">
        <v>17500</v>
      </c>
      <c r="G425" s="8">
        <f t="shared" si="24"/>
        <v>21875</v>
      </c>
      <c r="H425" s="8">
        <f t="shared" si="25"/>
        <v>24740625</v>
      </c>
      <c r="I425" s="8">
        <f t="shared" si="26"/>
        <v>19792500</v>
      </c>
      <c r="J425" s="8">
        <f t="shared" si="27"/>
        <v>4948125</v>
      </c>
      <c r="K425" s="9">
        <v>45916</v>
      </c>
      <c r="L425" s="10">
        <f>Table1[[#This Row],[Profit]]/Table1[[#This Row],[Sales]]</f>
        <v>0.2</v>
      </c>
    </row>
    <row r="426" spans="1:12">
      <c r="A426" t="s">
        <v>29</v>
      </c>
      <c r="B426" t="s">
        <v>36</v>
      </c>
      <c r="C426" t="s">
        <v>68</v>
      </c>
      <c r="D426" t="s">
        <v>14</v>
      </c>
      <c r="E426" s="7">
        <v>2758</v>
      </c>
      <c r="F426" s="8">
        <v>8800</v>
      </c>
      <c r="G426" s="8">
        <f t="shared" si="24"/>
        <v>11000</v>
      </c>
      <c r="H426" s="8">
        <f t="shared" si="25"/>
        <v>30338000</v>
      </c>
      <c r="I426" s="8">
        <f t="shared" si="26"/>
        <v>24270400</v>
      </c>
      <c r="J426" s="8">
        <f t="shared" si="27"/>
        <v>6067600</v>
      </c>
      <c r="K426" s="9">
        <v>45917</v>
      </c>
      <c r="L426" s="10">
        <f>Table1[[#This Row],[Profit]]/Table1[[#This Row],[Sales]]</f>
        <v>0.2</v>
      </c>
    </row>
    <row r="427" spans="1:12">
      <c r="A427" t="s">
        <v>29</v>
      </c>
      <c r="B427" t="s">
        <v>62</v>
      </c>
      <c r="C427" t="s">
        <v>27</v>
      </c>
      <c r="D427" t="s">
        <v>14</v>
      </c>
      <c r="E427" s="7">
        <v>702</v>
      </c>
      <c r="F427" s="8">
        <v>4100</v>
      </c>
      <c r="G427" s="8">
        <f t="shared" si="24"/>
        <v>5125</v>
      </c>
      <c r="H427" s="8">
        <f t="shared" si="25"/>
        <v>3597750</v>
      </c>
      <c r="I427" s="8">
        <f t="shared" si="26"/>
        <v>2878200</v>
      </c>
      <c r="J427" s="8">
        <f t="shared" si="27"/>
        <v>719550</v>
      </c>
      <c r="K427" s="9">
        <v>45918</v>
      </c>
      <c r="L427" s="10">
        <f>Table1[[#This Row],[Profit]]/Table1[[#This Row],[Sales]]</f>
        <v>0.2</v>
      </c>
    </row>
    <row r="428" spans="1:12">
      <c r="A428" t="s">
        <v>29</v>
      </c>
      <c r="B428" t="s">
        <v>97</v>
      </c>
      <c r="C428" t="s">
        <v>31</v>
      </c>
      <c r="D428" t="s">
        <v>14</v>
      </c>
      <c r="E428" s="7">
        <v>353</v>
      </c>
      <c r="F428" s="8">
        <v>5100</v>
      </c>
      <c r="G428" s="8">
        <f t="shared" si="24"/>
        <v>6375</v>
      </c>
      <c r="H428" s="8">
        <f t="shared" si="25"/>
        <v>2250375</v>
      </c>
      <c r="I428" s="8">
        <f t="shared" si="26"/>
        <v>1800300</v>
      </c>
      <c r="J428" s="8">
        <f t="shared" si="27"/>
        <v>450075</v>
      </c>
      <c r="K428" s="9">
        <v>45920</v>
      </c>
      <c r="L428" s="10">
        <f>Table1[[#This Row],[Profit]]/Table1[[#This Row],[Sales]]</f>
        <v>0.2</v>
      </c>
    </row>
    <row r="429" spans="1:12">
      <c r="A429" t="s">
        <v>29</v>
      </c>
      <c r="B429" t="s">
        <v>77</v>
      </c>
      <c r="C429" t="s">
        <v>13</v>
      </c>
      <c r="D429" t="s">
        <v>14</v>
      </c>
      <c r="E429" s="7">
        <v>196</v>
      </c>
      <c r="F429" s="8">
        <v>9700</v>
      </c>
      <c r="G429" s="8">
        <f t="shared" si="24"/>
        <v>12125</v>
      </c>
      <c r="H429" s="8">
        <f t="shared" si="25"/>
        <v>2376500</v>
      </c>
      <c r="I429" s="8">
        <f t="shared" si="26"/>
        <v>1901200</v>
      </c>
      <c r="J429" s="8">
        <f t="shared" si="27"/>
        <v>475300</v>
      </c>
      <c r="K429" s="9">
        <v>45927</v>
      </c>
      <c r="L429" s="10">
        <f>Table1[[#This Row],[Profit]]/Table1[[#This Row],[Sales]]</f>
        <v>0.2</v>
      </c>
    </row>
    <row r="430" spans="1:12">
      <c r="A430" t="s">
        <v>29</v>
      </c>
      <c r="B430" t="s">
        <v>97</v>
      </c>
      <c r="C430" t="s">
        <v>79</v>
      </c>
      <c r="D430" t="s">
        <v>14</v>
      </c>
      <c r="E430" s="7">
        <v>992</v>
      </c>
      <c r="F430" s="8">
        <v>10900</v>
      </c>
      <c r="G430" s="8">
        <f t="shared" si="24"/>
        <v>13625</v>
      </c>
      <c r="H430" s="8">
        <f t="shared" si="25"/>
        <v>13516000</v>
      </c>
      <c r="I430" s="8">
        <f t="shared" si="26"/>
        <v>10812800</v>
      </c>
      <c r="J430" s="8">
        <f t="shared" si="27"/>
        <v>2703200</v>
      </c>
      <c r="K430" s="9">
        <v>45927</v>
      </c>
      <c r="L430" s="10">
        <f>Table1[[#This Row],[Profit]]/Table1[[#This Row],[Sales]]</f>
        <v>0.2</v>
      </c>
    </row>
    <row r="431" spans="1:12">
      <c r="A431" t="s">
        <v>29</v>
      </c>
      <c r="B431" t="s">
        <v>88</v>
      </c>
      <c r="C431" t="s">
        <v>17</v>
      </c>
      <c r="D431" t="s">
        <v>14</v>
      </c>
      <c r="E431" s="7">
        <v>178</v>
      </c>
      <c r="F431" s="8">
        <v>10100</v>
      </c>
      <c r="G431" s="8">
        <f t="shared" si="24"/>
        <v>12625</v>
      </c>
      <c r="H431" s="8">
        <f t="shared" si="25"/>
        <v>2247250</v>
      </c>
      <c r="I431" s="8">
        <f t="shared" si="26"/>
        <v>1797800</v>
      </c>
      <c r="J431" s="8">
        <f t="shared" si="27"/>
        <v>449450</v>
      </c>
      <c r="K431" s="9">
        <v>45928</v>
      </c>
      <c r="L431" s="10">
        <f>Table1[[#This Row],[Profit]]/Table1[[#This Row],[Sales]]</f>
        <v>0.2</v>
      </c>
    </row>
    <row r="432" spans="1:12">
      <c r="A432" t="s">
        <v>29</v>
      </c>
      <c r="B432" t="s">
        <v>88</v>
      </c>
      <c r="C432" t="s">
        <v>17</v>
      </c>
      <c r="D432" t="s">
        <v>14</v>
      </c>
      <c r="E432" s="7">
        <v>1776</v>
      </c>
      <c r="F432" s="8">
        <v>16600</v>
      </c>
      <c r="G432" s="8">
        <f t="shared" si="24"/>
        <v>20750</v>
      </c>
      <c r="H432" s="8">
        <f t="shared" si="25"/>
        <v>36852000</v>
      </c>
      <c r="I432" s="8">
        <f t="shared" si="26"/>
        <v>29481600</v>
      </c>
      <c r="J432" s="8">
        <f t="shared" si="27"/>
        <v>7370400</v>
      </c>
      <c r="K432" s="9">
        <v>45929</v>
      </c>
      <c r="L432" s="10">
        <f>Table1[[#This Row],[Profit]]/Table1[[#This Row],[Sales]]</f>
        <v>0.2</v>
      </c>
    </row>
    <row r="433" spans="1:12">
      <c r="A433" t="s">
        <v>29</v>
      </c>
      <c r="B433" t="s">
        <v>97</v>
      </c>
      <c r="C433" t="s">
        <v>63</v>
      </c>
      <c r="D433" t="s">
        <v>14</v>
      </c>
      <c r="E433" s="7">
        <v>2935</v>
      </c>
      <c r="F433" s="8">
        <v>17300</v>
      </c>
      <c r="G433" s="8">
        <f t="shared" si="24"/>
        <v>21625</v>
      </c>
      <c r="H433" s="8">
        <f t="shared" si="25"/>
        <v>63469375</v>
      </c>
      <c r="I433" s="8">
        <f t="shared" si="26"/>
        <v>50775500</v>
      </c>
      <c r="J433" s="8">
        <f t="shared" si="27"/>
        <v>12693875</v>
      </c>
      <c r="K433" s="9">
        <v>45929</v>
      </c>
      <c r="L433" s="10">
        <f>Table1[[#This Row],[Profit]]/Table1[[#This Row],[Sales]]</f>
        <v>0.2</v>
      </c>
    </row>
    <row r="434" spans="1:12">
      <c r="A434" t="s">
        <v>29</v>
      </c>
      <c r="B434" t="s">
        <v>77</v>
      </c>
      <c r="C434" t="s">
        <v>79</v>
      </c>
      <c r="D434" t="s">
        <v>14</v>
      </c>
      <c r="E434" s="7">
        <v>2149</v>
      </c>
      <c r="F434" s="8">
        <v>18100</v>
      </c>
      <c r="G434" s="8">
        <f t="shared" si="24"/>
        <v>22625</v>
      </c>
      <c r="H434" s="8">
        <f t="shared" si="25"/>
        <v>48621125</v>
      </c>
      <c r="I434" s="8">
        <f t="shared" si="26"/>
        <v>38896900</v>
      </c>
      <c r="J434" s="8">
        <f t="shared" si="27"/>
        <v>9724225</v>
      </c>
      <c r="K434" s="9">
        <v>45929</v>
      </c>
      <c r="L434" s="10">
        <f>Table1[[#This Row],[Profit]]/Table1[[#This Row],[Sales]]</f>
        <v>0.2</v>
      </c>
    </row>
    <row r="435" spans="1:12">
      <c r="A435" t="s">
        <v>29</v>
      </c>
      <c r="B435" t="s">
        <v>26</v>
      </c>
      <c r="C435" t="s">
        <v>27</v>
      </c>
      <c r="D435" t="s">
        <v>14</v>
      </c>
      <c r="E435" s="7">
        <v>1191</v>
      </c>
      <c r="F435" s="8">
        <v>2400</v>
      </c>
      <c r="G435" s="8">
        <f t="shared" si="24"/>
        <v>3000</v>
      </c>
      <c r="H435" s="8">
        <f t="shared" si="25"/>
        <v>3573000</v>
      </c>
      <c r="I435" s="8">
        <f t="shared" si="26"/>
        <v>2858400</v>
      </c>
      <c r="J435" s="8">
        <f t="shared" si="27"/>
        <v>714600</v>
      </c>
      <c r="K435" s="9">
        <v>45930</v>
      </c>
      <c r="L435" s="10">
        <f>Table1[[#This Row],[Profit]]/Table1[[#This Row],[Sales]]</f>
        <v>0.2</v>
      </c>
    </row>
    <row r="436" spans="1:12">
      <c r="A436" t="s">
        <v>29</v>
      </c>
      <c r="B436" t="s">
        <v>39</v>
      </c>
      <c r="C436" t="s">
        <v>31</v>
      </c>
      <c r="D436" t="s">
        <v>14</v>
      </c>
      <c r="E436" s="7">
        <v>2165</v>
      </c>
      <c r="F436" s="8">
        <v>9000</v>
      </c>
      <c r="G436" s="8">
        <f t="shared" si="24"/>
        <v>11250</v>
      </c>
      <c r="H436" s="8">
        <f t="shared" si="25"/>
        <v>24356250</v>
      </c>
      <c r="I436" s="8">
        <f t="shared" si="26"/>
        <v>19485000</v>
      </c>
      <c r="J436" s="8">
        <f t="shared" si="27"/>
        <v>4871250</v>
      </c>
      <c r="K436" s="9">
        <v>45930</v>
      </c>
      <c r="L436" s="10">
        <f>Table1[[#This Row],[Profit]]/Table1[[#This Row],[Sales]]</f>
        <v>0.2</v>
      </c>
    </row>
    <row r="437" spans="1:12">
      <c r="A437" t="s">
        <v>29</v>
      </c>
      <c r="B437" t="s">
        <v>26</v>
      </c>
      <c r="C437" t="s">
        <v>63</v>
      </c>
      <c r="D437" t="s">
        <v>14</v>
      </c>
      <c r="E437" s="7">
        <v>1812</v>
      </c>
      <c r="F437" s="8">
        <v>14700</v>
      </c>
      <c r="G437" s="8">
        <f t="shared" si="24"/>
        <v>18375</v>
      </c>
      <c r="H437" s="8">
        <f t="shared" si="25"/>
        <v>33295500</v>
      </c>
      <c r="I437" s="8">
        <f t="shared" si="26"/>
        <v>26636400</v>
      </c>
      <c r="J437" s="8">
        <f t="shared" si="27"/>
        <v>6659100</v>
      </c>
      <c r="K437" s="9">
        <v>45935</v>
      </c>
      <c r="L437" s="10">
        <f>Table1[[#This Row],[Profit]]/Table1[[#This Row],[Sales]]</f>
        <v>0.2</v>
      </c>
    </row>
    <row r="438" spans="1:12">
      <c r="A438" t="s">
        <v>29</v>
      </c>
      <c r="B438" t="s">
        <v>98</v>
      </c>
      <c r="C438" t="s">
        <v>34</v>
      </c>
      <c r="D438" t="s">
        <v>14</v>
      </c>
      <c r="E438" s="7">
        <v>997</v>
      </c>
      <c r="F438" s="8">
        <v>12700</v>
      </c>
      <c r="G438" s="8">
        <f t="shared" si="24"/>
        <v>15875</v>
      </c>
      <c r="H438" s="8">
        <f t="shared" si="25"/>
        <v>15827375</v>
      </c>
      <c r="I438" s="8">
        <f t="shared" si="26"/>
        <v>12661900</v>
      </c>
      <c r="J438" s="8">
        <f t="shared" si="27"/>
        <v>3165475</v>
      </c>
      <c r="K438" s="9">
        <v>45937</v>
      </c>
      <c r="L438" s="10">
        <f>Table1[[#This Row],[Profit]]/Table1[[#This Row],[Sales]]</f>
        <v>0.2</v>
      </c>
    </row>
    <row r="439" spans="1:12">
      <c r="A439" t="s">
        <v>29</v>
      </c>
      <c r="B439" t="s">
        <v>77</v>
      </c>
      <c r="C439" t="s">
        <v>79</v>
      </c>
      <c r="D439" t="s">
        <v>14</v>
      </c>
      <c r="E439" s="7">
        <v>507</v>
      </c>
      <c r="F439" s="8">
        <v>13600</v>
      </c>
      <c r="G439" s="8">
        <f t="shared" si="24"/>
        <v>17000</v>
      </c>
      <c r="H439" s="8">
        <f t="shared" si="25"/>
        <v>8619000</v>
      </c>
      <c r="I439" s="8">
        <f t="shared" si="26"/>
        <v>6895200</v>
      </c>
      <c r="J439" s="8">
        <f t="shared" si="27"/>
        <v>1723800</v>
      </c>
      <c r="K439" s="9">
        <v>45937</v>
      </c>
      <c r="L439" s="10">
        <f>Table1[[#This Row],[Profit]]/Table1[[#This Row],[Sales]]</f>
        <v>0.2</v>
      </c>
    </row>
    <row r="440" spans="1:12">
      <c r="A440" t="s">
        <v>29</v>
      </c>
      <c r="B440" t="s">
        <v>77</v>
      </c>
      <c r="C440" t="s">
        <v>27</v>
      </c>
      <c r="D440" t="s">
        <v>14</v>
      </c>
      <c r="E440" s="7">
        <v>1450</v>
      </c>
      <c r="F440" s="8">
        <v>3200</v>
      </c>
      <c r="G440" s="8">
        <f t="shared" si="24"/>
        <v>4000</v>
      </c>
      <c r="H440" s="8">
        <f t="shared" si="25"/>
        <v>5800000</v>
      </c>
      <c r="I440" s="8">
        <f t="shared" si="26"/>
        <v>4640000</v>
      </c>
      <c r="J440" s="8">
        <f t="shared" si="27"/>
        <v>1160000</v>
      </c>
      <c r="K440" s="9">
        <v>45937</v>
      </c>
      <c r="L440" s="10">
        <f>Table1[[#This Row],[Profit]]/Table1[[#This Row],[Sales]]</f>
        <v>0.2</v>
      </c>
    </row>
    <row r="441" spans="1:12">
      <c r="A441" t="s">
        <v>29</v>
      </c>
      <c r="B441" t="s">
        <v>39</v>
      </c>
      <c r="C441" t="s">
        <v>27</v>
      </c>
      <c r="D441" t="s">
        <v>14</v>
      </c>
      <c r="E441" s="7">
        <v>848</v>
      </c>
      <c r="F441" s="8">
        <v>17700</v>
      </c>
      <c r="G441" s="8">
        <f t="shared" si="24"/>
        <v>22125</v>
      </c>
      <c r="H441" s="8">
        <f t="shared" si="25"/>
        <v>18762000</v>
      </c>
      <c r="I441" s="8">
        <f t="shared" si="26"/>
        <v>15009600</v>
      </c>
      <c r="J441" s="8">
        <f t="shared" si="27"/>
        <v>3752400</v>
      </c>
      <c r="K441" s="9">
        <v>45940</v>
      </c>
      <c r="L441" s="10">
        <f>Table1[[#This Row],[Profit]]/Table1[[#This Row],[Sales]]</f>
        <v>0.2</v>
      </c>
    </row>
    <row r="442" spans="1:12">
      <c r="A442" t="s">
        <v>29</v>
      </c>
      <c r="B442" t="s">
        <v>20</v>
      </c>
      <c r="C442" t="s">
        <v>34</v>
      </c>
      <c r="D442" t="s">
        <v>14</v>
      </c>
      <c r="E442" s="7">
        <v>2484</v>
      </c>
      <c r="F442" s="8">
        <v>22134</v>
      </c>
      <c r="G442" s="8">
        <f t="shared" si="24"/>
        <v>27625</v>
      </c>
      <c r="H442" s="8">
        <f t="shared" si="25"/>
        <v>68620500</v>
      </c>
      <c r="I442" s="8">
        <f t="shared" si="26"/>
        <v>54980856</v>
      </c>
      <c r="J442" s="8">
        <f t="shared" si="27"/>
        <v>13639644</v>
      </c>
      <c r="K442" s="9">
        <v>45940</v>
      </c>
      <c r="L442" s="10">
        <f>Table1[[#This Row],[Profit]]/Table1[[#This Row],[Sales]]</f>
        <v>0.19876923076923078</v>
      </c>
    </row>
    <row r="443" spans="1:12">
      <c r="A443" t="s">
        <v>29</v>
      </c>
      <c r="B443" t="s">
        <v>20</v>
      </c>
      <c r="C443" t="s">
        <v>63</v>
      </c>
      <c r="D443" t="s">
        <v>14</v>
      </c>
      <c r="E443" s="7">
        <v>2314</v>
      </c>
      <c r="F443" s="8">
        <v>10300</v>
      </c>
      <c r="G443" s="8">
        <f t="shared" si="24"/>
        <v>12875</v>
      </c>
      <c r="H443" s="8">
        <f t="shared" si="25"/>
        <v>29792750</v>
      </c>
      <c r="I443" s="8">
        <f t="shared" si="26"/>
        <v>23834200</v>
      </c>
      <c r="J443" s="8">
        <f t="shared" si="27"/>
        <v>5958550</v>
      </c>
      <c r="K443" s="9">
        <v>45941</v>
      </c>
      <c r="L443" s="10">
        <f>Table1[[#This Row],[Profit]]/Table1[[#This Row],[Sales]]</f>
        <v>0.2</v>
      </c>
    </row>
    <row r="444" spans="1:12">
      <c r="A444" t="s">
        <v>29</v>
      </c>
      <c r="B444" t="s">
        <v>39</v>
      </c>
      <c r="C444" t="s">
        <v>37</v>
      </c>
      <c r="D444" t="s">
        <v>14</v>
      </c>
      <c r="E444" s="7">
        <v>2031</v>
      </c>
      <c r="F444" s="8">
        <v>19200</v>
      </c>
      <c r="G444" s="8">
        <f t="shared" si="24"/>
        <v>24000</v>
      </c>
      <c r="H444" s="8">
        <f t="shared" si="25"/>
        <v>48744000</v>
      </c>
      <c r="I444" s="8">
        <f t="shared" si="26"/>
        <v>38995200</v>
      </c>
      <c r="J444" s="8">
        <f t="shared" si="27"/>
        <v>9748800</v>
      </c>
      <c r="K444" s="9">
        <v>45942</v>
      </c>
      <c r="L444" s="10">
        <f>Table1[[#This Row],[Profit]]/Table1[[#This Row],[Sales]]</f>
        <v>0.2</v>
      </c>
    </row>
    <row r="445" spans="1:12">
      <c r="A445" t="s">
        <v>29</v>
      </c>
      <c r="B445" t="s">
        <v>39</v>
      </c>
      <c r="C445" t="s">
        <v>68</v>
      </c>
      <c r="D445" t="s">
        <v>14</v>
      </c>
      <c r="E445" s="7">
        <v>1588</v>
      </c>
      <c r="F445" s="8">
        <v>19300</v>
      </c>
      <c r="G445" s="8">
        <f t="shared" si="24"/>
        <v>24125</v>
      </c>
      <c r="H445" s="8">
        <f t="shared" si="25"/>
        <v>38310500</v>
      </c>
      <c r="I445" s="8">
        <f t="shared" si="26"/>
        <v>30648400</v>
      </c>
      <c r="J445" s="8">
        <f t="shared" si="27"/>
        <v>7662100</v>
      </c>
      <c r="K445" s="9">
        <v>45942</v>
      </c>
      <c r="L445" s="10">
        <f>Table1[[#This Row],[Profit]]/Table1[[#This Row],[Sales]]</f>
        <v>0.2</v>
      </c>
    </row>
    <row r="446" spans="1:12">
      <c r="A446" t="s">
        <v>29</v>
      </c>
      <c r="B446" t="s">
        <v>39</v>
      </c>
      <c r="C446" t="s">
        <v>68</v>
      </c>
      <c r="D446" t="s">
        <v>14</v>
      </c>
      <c r="E446" s="7">
        <v>2454</v>
      </c>
      <c r="F446" s="8">
        <v>1700</v>
      </c>
      <c r="G446" s="8">
        <f t="shared" si="24"/>
        <v>2125</v>
      </c>
      <c r="H446" s="8">
        <f t="shared" si="25"/>
        <v>5214750</v>
      </c>
      <c r="I446" s="8">
        <f t="shared" si="26"/>
        <v>4171800</v>
      </c>
      <c r="J446" s="8">
        <f t="shared" si="27"/>
        <v>1042950</v>
      </c>
      <c r="K446" s="9">
        <v>45942</v>
      </c>
      <c r="L446" s="10">
        <f>Table1[[#This Row],[Profit]]/Table1[[#This Row],[Sales]]</f>
        <v>0.2</v>
      </c>
    </row>
    <row r="447" spans="1:12">
      <c r="A447" t="s">
        <v>29</v>
      </c>
      <c r="B447" t="s">
        <v>51</v>
      </c>
      <c r="C447" t="s">
        <v>17</v>
      </c>
      <c r="D447" t="s">
        <v>14</v>
      </c>
      <c r="E447" s="7">
        <v>664</v>
      </c>
      <c r="F447" s="8">
        <v>21400</v>
      </c>
      <c r="G447" s="8">
        <f t="shared" si="24"/>
        <v>26750</v>
      </c>
      <c r="H447" s="8">
        <f t="shared" si="25"/>
        <v>17762000</v>
      </c>
      <c r="I447" s="8">
        <f t="shared" si="26"/>
        <v>14209600</v>
      </c>
      <c r="J447" s="8">
        <f t="shared" si="27"/>
        <v>3552400</v>
      </c>
      <c r="K447" s="9">
        <v>45943</v>
      </c>
      <c r="L447" s="10">
        <f>Table1[[#This Row],[Profit]]/Table1[[#This Row],[Sales]]</f>
        <v>0.2</v>
      </c>
    </row>
    <row r="448" spans="1:12">
      <c r="A448" t="s">
        <v>29</v>
      </c>
      <c r="B448" t="s">
        <v>36</v>
      </c>
      <c r="C448" t="s">
        <v>34</v>
      </c>
      <c r="D448" t="s">
        <v>14</v>
      </c>
      <c r="E448" s="7">
        <v>609</v>
      </c>
      <c r="F448" s="8">
        <v>22900</v>
      </c>
      <c r="G448" s="8">
        <f t="shared" si="24"/>
        <v>28625</v>
      </c>
      <c r="H448" s="8">
        <f t="shared" si="25"/>
        <v>17432625</v>
      </c>
      <c r="I448" s="8">
        <f t="shared" si="26"/>
        <v>13946100</v>
      </c>
      <c r="J448" s="8">
        <f t="shared" si="27"/>
        <v>3486525</v>
      </c>
      <c r="K448" s="9">
        <v>45943</v>
      </c>
      <c r="L448" s="10">
        <f>Table1[[#This Row],[Profit]]/Table1[[#This Row],[Sales]]</f>
        <v>0.2</v>
      </c>
    </row>
    <row r="449" spans="1:12">
      <c r="A449" t="s">
        <v>29</v>
      </c>
      <c r="B449" t="s">
        <v>39</v>
      </c>
      <c r="C449" t="s">
        <v>27</v>
      </c>
      <c r="D449" t="s">
        <v>14</v>
      </c>
      <c r="E449" s="7">
        <v>413</v>
      </c>
      <c r="F449" s="8">
        <v>21900</v>
      </c>
      <c r="G449" s="8">
        <f t="shared" si="24"/>
        <v>27375</v>
      </c>
      <c r="H449" s="8">
        <f t="shared" si="25"/>
        <v>11305875</v>
      </c>
      <c r="I449" s="8">
        <f t="shared" si="26"/>
        <v>9044700</v>
      </c>
      <c r="J449" s="8">
        <f t="shared" si="27"/>
        <v>2261175</v>
      </c>
      <c r="K449" s="9">
        <v>45943</v>
      </c>
      <c r="L449" s="10">
        <f>Table1[[#This Row],[Profit]]/Table1[[#This Row],[Sales]]</f>
        <v>0.2</v>
      </c>
    </row>
    <row r="450" spans="1:12">
      <c r="A450" t="s">
        <v>29</v>
      </c>
      <c r="B450" t="s">
        <v>26</v>
      </c>
      <c r="C450" t="s">
        <v>79</v>
      </c>
      <c r="D450" t="s">
        <v>14</v>
      </c>
      <c r="E450" s="7">
        <v>1056</v>
      </c>
      <c r="F450" s="8">
        <v>4500</v>
      </c>
      <c r="G450" s="8">
        <f t="shared" ref="G450:G513" si="28">ROUNDDOWN(F450/100,0)*100*1.25</f>
        <v>5625</v>
      </c>
      <c r="H450" s="8">
        <f t="shared" ref="H450:H513" si="29">E450*G450</f>
        <v>5940000</v>
      </c>
      <c r="I450" s="8">
        <f t="shared" ref="I450:I513" si="30">E450*F450</f>
        <v>4752000</v>
      </c>
      <c r="J450" s="8">
        <f t="shared" ref="J450:J513" si="31">H450-I450</f>
        <v>1188000</v>
      </c>
      <c r="K450" s="9">
        <v>45945</v>
      </c>
      <c r="L450" s="10">
        <f>Table1[[#This Row],[Profit]]/Table1[[#This Row],[Sales]]</f>
        <v>0.2</v>
      </c>
    </row>
    <row r="451" spans="1:12">
      <c r="A451" t="s">
        <v>29</v>
      </c>
      <c r="B451" t="s">
        <v>62</v>
      </c>
      <c r="C451" t="s">
        <v>21</v>
      </c>
      <c r="D451" t="s">
        <v>14</v>
      </c>
      <c r="E451" s="7">
        <v>347</v>
      </c>
      <c r="F451" s="8">
        <v>10000</v>
      </c>
      <c r="G451" s="8">
        <f t="shared" si="28"/>
        <v>12500</v>
      </c>
      <c r="H451" s="8">
        <f t="shared" si="29"/>
        <v>4337500</v>
      </c>
      <c r="I451" s="8">
        <f t="shared" si="30"/>
        <v>3470000</v>
      </c>
      <c r="J451" s="8">
        <f t="shared" si="31"/>
        <v>867500</v>
      </c>
      <c r="K451" s="9">
        <v>45945</v>
      </c>
      <c r="L451" s="10">
        <f>Table1[[#This Row],[Profit]]/Table1[[#This Row],[Sales]]</f>
        <v>0.2</v>
      </c>
    </row>
    <row r="452" spans="1:12">
      <c r="A452" t="s">
        <v>29</v>
      </c>
      <c r="B452" t="s">
        <v>36</v>
      </c>
      <c r="C452" t="s">
        <v>17</v>
      </c>
      <c r="D452" t="s">
        <v>14</v>
      </c>
      <c r="E452" s="7">
        <v>1091</v>
      </c>
      <c r="F452" s="8">
        <v>10200</v>
      </c>
      <c r="G452" s="8">
        <f t="shared" si="28"/>
        <v>12750</v>
      </c>
      <c r="H452" s="8">
        <f t="shared" si="29"/>
        <v>13910250</v>
      </c>
      <c r="I452" s="8">
        <f t="shared" si="30"/>
        <v>11128200</v>
      </c>
      <c r="J452" s="8">
        <f t="shared" si="31"/>
        <v>2782050</v>
      </c>
      <c r="K452" s="9">
        <v>45948</v>
      </c>
      <c r="L452" s="10">
        <f>Table1[[#This Row],[Profit]]/Table1[[#This Row],[Sales]]</f>
        <v>0.2</v>
      </c>
    </row>
    <row r="453" spans="1:12">
      <c r="A453" t="s">
        <v>29</v>
      </c>
      <c r="B453" t="s">
        <v>62</v>
      </c>
      <c r="C453" t="s">
        <v>63</v>
      </c>
      <c r="D453" t="s">
        <v>14</v>
      </c>
      <c r="E453" s="7">
        <v>2530</v>
      </c>
      <c r="F453" s="8">
        <v>23600</v>
      </c>
      <c r="G453" s="8">
        <f t="shared" si="28"/>
        <v>29500</v>
      </c>
      <c r="H453" s="8">
        <f t="shared" si="29"/>
        <v>74635000</v>
      </c>
      <c r="I453" s="8">
        <f t="shared" si="30"/>
        <v>59708000</v>
      </c>
      <c r="J453" s="8">
        <f t="shared" si="31"/>
        <v>14927000</v>
      </c>
      <c r="K453" s="9">
        <v>45950</v>
      </c>
      <c r="L453" s="10">
        <f>Table1[[#This Row],[Profit]]/Table1[[#This Row],[Sales]]</f>
        <v>0.2</v>
      </c>
    </row>
    <row r="454" spans="1:12">
      <c r="A454" t="s">
        <v>29</v>
      </c>
      <c r="B454" t="s">
        <v>26</v>
      </c>
      <c r="C454" t="s">
        <v>13</v>
      </c>
      <c r="D454" t="s">
        <v>14</v>
      </c>
      <c r="E454" s="7">
        <v>2137</v>
      </c>
      <c r="F454" s="8">
        <v>3300</v>
      </c>
      <c r="G454" s="8">
        <f t="shared" si="28"/>
        <v>4125</v>
      </c>
      <c r="H454" s="8">
        <f t="shared" si="29"/>
        <v>8815125</v>
      </c>
      <c r="I454" s="8">
        <f t="shared" si="30"/>
        <v>7052100</v>
      </c>
      <c r="J454" s="8">
        <f t="shared" si="31"/>
        <v>1763025</v>
      </c>
      <c r="K454" s="9">
        <v>45952</v>
      </c>
      <c r="L454" s="10">
        <f>Table1[[#This Row],[Profit]]/Table1[[#This Row],[Sales]]</f>
        <v>0.2</v>
      </c>
    </row>
    <row r="455" spans="1:12">
      <c r="A455" t="s">
        <v>29</v>
      </c>
      <c r="B455" t="s">
        <v>97</v>
      </c>
      <c r="C455" t="s">
        <v>34</v>
      </c>
      <c r="D455" t="s">
        <v>14</v>
      </c>
      <c r="E455" s="7">
        <v>2586</v>
      </c>
      <c r="F455" s="8">
        <v>16300</v>
      </c>
      <c r="G455" s="8">
        <f t="shared" si="28"/>
        <v>20375</v>
      </c>
      <c r="H455" s="8">
        <f t="shared" si="29"/>
        <v>52689750</v>
      </c>
      <c r="I455" s="8">
        <f t="shared" si="30"/>
        <v>42151800</v>
      </c>
      <c r="J455" s="8">
        <f t="shared" si="31"/>
        <v>10537950</v>
      </c>
      <c r="K455" s="9">
        <v>45952</v>
      </c>
      <c r="L455" s="10">
        <f>Table1[[#This Row],[Profit]]/Table1[[#This Row],[Sales]]</f>
        <v>0.2</v>
      </c>
    </row>
    <row r="456" spans="1:12">
      <c r="A456" t="s">
        <v>29</v>
      </c>
      <c r="B456" t="s">
        <v>39</v>
      </c>
      <c r="C456" t="s">
        <v>21</v>
      </c>
      <c r="D456" t="s">
        <v>14</v>
      </c>
      <c r="E456" s="7">
        <v>1508</v>
      </c>
      <c r="F456" s="8">
        <v>19800</v>
      </c>
      <c r="G456" s="8">
        <f t="shared" si="28"/>
        <v>24750</v>
      </c>
      <c r="H456" s="8">
        <f t="shared" si="29"/>
        <v>37323000</v>
      </c>
      <c r="I456" s="8">
        <f t="shared" si="30"/>
        <v>29858400</v>
      </c>
      <c r="J456" s="8">
        <f t="shared" si="31"/>
        <v>7464600</v>
      </c>
      <c r="K456" s="9">
        <v>45953</v>
      </c>
      <c r="L456" s="10">
        <f>Table1[[#This Row],[Profit]]/Table1[[#This Row],[Sales]]</f>
        <v>0.2</v>
      </c>
    </row>
    <row r="457" spans="1:12">
      <c r="A457" t="s">
        <v>29</v>
      </c>
      <c r="B457" t="s">
        <v>36</v>
      </c>
      <c r="C457" t="s">
        <v>31</v>
      </c>
      <c r="D457" t="s">
        <v>14</v>
      </c>
      <c r="E457" s="7">
        <v>898</v>
      </c>
      <c r="F457" s="8">
        <v>7700</v>
      </c>
      <c r="G457" s="8">
        <f t="shared" si="28"/>
        <v>9625</v>
      </c>
      <c r="H457" s="8">
        <f t="shared" si="29"/>
        <v>8643250</v>
      </c>
      <c r="I457" s="8">
        <f t="shared" si="30"/>
        <v>6914600</v>
      </c>
      <c r="J457" s="8">
        <f t="shared" si="31"/>
        <v>1728650</v>
      </c>
      <c r="K457" s="9">
        <v>45953</v>
      </c>
      <c r="L457" s="10">
        <f>Table1[[#This Row],[Profit]]/Table1[[#This Row],[Sales]]</f>
        <v>0.2</v>
      </c>
    </row>
    <row r="458" spans="1:12">
      <c r="A458" t="s">
        <v>29</v>
      </c>
      <c r="B458" t="s">
        <v>88</v>
      </c>
      <c r="C458" t="s">
        <v>27</v>
      </c>
      <c r="D458" t="s">
        <v>14</v>
      </c>
      <c r="E458" s="7">
        <v>2704</v>
      </c>
      <c r="F458" s="8">
        <v>24100</v>
      </c>
      <c r="G458" s="8">
        <f t="shared" si="28"/>
        <v>30125</v>
      </c>
      <c r="H458" s="8">
        <f t="shared" si="29"/>
        <v>81458000</v>
      </c>
      <c r="I458" s="8">
        <f t="shared" si="30"/>
        <v>65166400</v>
      </c>
      <c r="J458" s="8">
        <f t="shared" si="31"/>
        <v>16291600</v>
      </c>
      <c r="K458" s="9">
        <v>45955</v>
      </c>
      <c r="L458" s="10">
        <f>Table1[[#This Row],[Profit]]/Table1[[#This Row],[Sales]]</f>
        <v>0.2</v>
      </c>
    </row>
    <row r="459" spans="1:12">
      <c r="A459" t="s">
        <v>29</v>
      </c>
      <c r="B459" t="s">
        <v>77</v>
      </c>
      <c r="C459" t="s">
        <v>13</v>
      </c>
      <c r="D459" t="s">
        <v>14</v>
      </c>
      <c r="E459" s="7">
        <v>1175</v>
      </c>
      <c r="F459" s="8">
        <v>3100</v>
      </c>
      <c r="G459" s="8">
        <f t="shared" si="28"/>
        <v>3875</v>
      </c>
      <c r="H459" s="8">
        <f t="shared" si="29"/>
        <v>4553125</v>
      </c>
      <c r="I459" s="8">
        <f t="shared" si="30"/>
        <v>3642500</v>
      </c>
      <c r="J459" s="8">
        <f t="shared" si="31"/>
        <v>910625</v>
      </c>
      <c r="K459" s="9">
        <v>45956</v>
      </c>
      <c r="L459" s="10">
        <f>Table1[[#This Row],[Profit]]/Table1[[#This Row],[Sales]]</f>
        <v>0.2</v>
      </c>
    </row>
    <row r="460" spans="1:12">
      <c r="A460" t="s">
        <v>29</v>
      </c>
      <c r="B460" t="s">
        <v>88</v>
      </c>
      <c r="C460" t="s">
        <v>68</v>
      </c>
      <c r="D460" t="s">
        <v>14</v>
      </c>
      <c r="E460" s="7">
        <v>1855</v>
      </c>
      <c r="F460" s="8">
        <v>3700</v>
      </c>
      <c r="G460" s="8">
        <f t="shared" si="28"/>
        <v>4625</v>
      </c>
      <c r="H460" s="8">
        <f t="shared" si="29"/>
        <v>8579375</v>
      </c>
      <c r="I460" s="8">
        <f t="shared" si="30"/>
        <v>6863500</v>
      </c>
      <c r="J460" s="8">
        <f t="shared" si="31"/>
        <v>1715875</v>
      </c>
      <c r="K460" s="9">
        <v>45958</v>
      </c>
      <c r="L460" s="10">
        <f>Table1[[#This Row],[Profit]]/Table1[[#This Row],[Sales]]</f>
        <v>0.2</v>
      </c>
    </row>
    <row r="461" spans="1:12">
      <c r="A461" t="s">
        <v>29</v>
      </c>
      <c r="B461" t="s">
        <v>51</v>
      </c>
      <c r="C461" t="s">
        <v>37</v>
      </c>
      <c r="D461" t="s">
        <v>14</v>
      </c>
      <c r="E461" s="7">
        <v>891</v>
      </c>
      <c r="F461" s="8">
        <v>11500</v>
      </c>
      <c r="G461" s="8">
        <f t="shared" si="28"/>
        <v>14375</v>
      </c>
      <c r="H461" s="8">
        <f t="shared" si="29"/>
        <v>12808125</v>
      </c>
      <c r="I461" s="8">
        <f t="shared" si="30"/>
        <v>10246500</v>
      </c>
      <c r="J461" s="8">
        <f t="shared" si="31"/>
        <v>2561625</v>
      </c>
      <c r="K461" s="9">
        <v>45959</v>
      </c>
      <c r="L461" s="10">
        <f>Table1[[#This Row],[Profit]]/Table1[[#This Row],[Sales]]</f>
        <v>0.2</v>
      </c>
    </row>
    <row r="462" spans="1:12">
      <c r="A462" t="s">
        <v>29</v>
      </c>
      <c r="B462" t="s">
        <v>20</v>
      </c>
      <c r="C462" t="s">
        <v>68</v>
      </c>
      <c r="D462" t="s">
        <v>14</v>
      </c>
      <c r="E462" s="7">
        <v>2511</v>
      </c>
      <c r="F462" s="8">
        <v>6800</v>
      </c>
      <c r="G462" s="8">
        <f t="shared" si="28"/>
        <v>8500</v>
      </c>
      <c r="H462" s="8">
        <f t="shared" si="29"/>
        <v>21343500</v>
      </c>
      <c r="I462" s="8">
        <f t="shared" si="30"/>
        <v>17074800</v>
      </c>
      <c r="J462" s="8">
        <f t="shared" si="31"/>
        <v>4268700</v>
      </c>
      <c r="K462" s="9">
        <v>45959</v>
      </c>
      <c r="L462" s="10">
        <f>Table1[[#This Row],[Profit]]/Table1[[#This Row],[Sales]]</f>
        <v>0.2</v>
      </c>
    </row>
    <row r="463" spans="1:12">
      <c r="A463" t="s">
        <v>29</v>
      </c>
      <c r="B463" t="s">
        <v>36</v>
      </c>
      <c r="C463" t="s">
        <v>37</v>
      </c>
      <c r="D463" t="s">
        <v>14</v>
      </c>
      <c r="E463" s="7">
        <v>152</v>
      </c>
      <c r="F463" s="8">
        <v>11700</v>
      </c>
      <c r="G463" s="8">
        <f t="shared" si="28"/>
        <v>14625</v>
      </c>
      <c r="H463" s="8">
        <f t="shared" si="29"/>
        <v>2223000</v>
      </c>
      <c r="I463" s="8">
        <f t="shared" si="30"/>
        <v>1778400</v>
      </c>
      <c r="J463" s="8">
        <f t="shared" si="31"/>
        <v>444600</v>
      </c>
      <c r="K463" s="9">
        <v>45961</v>
      </c>
      <c r="L463" s="10">
        <f>Table1[[#This Row],[Profit]]/Table1[[#This Row],[Sales]]</f>
        <v>0.2</v>
      </c>
    </row>
    <row r="464" spans="1:12">
      <c r="A464" t="s">
        <v>29</v>
      </c>
      <c r="B464" t="s">
        <v>88</v>
      </c>
      <c r="C464" t="s">
        <v>31</v>
      </c>
      <c r="D464" t="s">
        <v>14</v>
      </c>
      <c r="E464" s="7">
        <v>204</v>
      </c>
      <c r="F464" s="8">
        <v>18000</v>
      </c>
      <c r="G464" s="8">
        <f t="shared" si="28"/>
        <v>22500</v>
      </c>
      <c r="H464" s="8">
        <f t="shared" si="29"/>
        <v>4590000</v>
      </c>
      <c r="I464" s="8">
        <f t="shared" si="30"/>
        <v>3672000</v>
      </c>
      <c r="J464" s="8">
        <f t="shared" si="31"/>
        <v>918000</v>
      </c>
      <c r="K464" s="9">
        <v>45962</v>
      </c>
      <c r="L464" s="10">
        <f>Table1[[#This Row],[Profit]]/Table1[[#This Row],[Sales]]</f>
        <v>0.2</v>
      </c>
    </row>
    <row r="465" spans="1:12">
      <c r="A465" t="s">
        <v>29</v>
      </c>
      <c r="B465" t="s">
        <v>26</v>
      </c>
      <c r="C465" t="s">
        <v>27</v>
      </c>
      <c r="D465" t="s">
        <v>14</v>
      </c>
      <c r="E465" s="7">
        <v>517</v>
      </c>
      <c r="F465" s="8">
        <v>20000</v>
      </c>
      <c r="G465" s="8">
        <f t="shared" si="28"/>
        <v>25000</v>
      </c>
      <c r="H465" s="8">
        <f t="shared" si="29"/>
        <v>12925000</v>
      </c>
      <c r="I465" s="8">
        <f t="shared" si="30"/>
        <v>10340000</v>
      </c>
      <c r="J465" s="8">
        <f t="shared" si="31"/>
        <v>2585000</v>
      </c>
      <c r="K465" s="9">
        <v>45962</v>
      </c>
      <c r="L465" s="10">
        <f>Table1[[#This Row],[Profit]]/Table1[[#This Row],[Sales]]</f>
        <v>0.2</v>
      </c>
    </row>
    <row r="466" spans="1:12">
      <c r="A466" t="s">
        <v>29</v>
      </c>
      <c r="B466" t="s">
        <v>39</v>
      </c>
      <c r="C466" t="s">
        <v>37</v>
      </c>
      <c r="D466" t="s">
        <v>14</v>
      </c>
      <c r="E466" s="7">
        <v>244</v>
      </c>
      <c r="F466" s="8">
        <v>19000</v>
      </c>
      <c r="G466" s="8">
        <f t="shared" si="28"/>
        <v>23750</v>
      </c>
      <c r="H466" s="8">
        <f t="shared" si="29"/>
        <v>5795000</v>
      </c>
      <c r="I466" s="8">
        <f t="shared" si="30"/>
        <v>4636000</v>
      </c>
      <c r="J466" s="8">
        <f t="shared" si="31"/>
        <v>1159000</v>
      </c>
      <c r="K466" s="9">
        <v>45963</v>
      </c>
      <c r="L466" s="10">
        <f>Table1[[#This Row],[Profit]]/Table1[[#This Row],[Sales]]</f>
        <v>0.2</v>
      </c>
    </row>
    <row r="467" spans="1:12">
      <c r="A467" t="s">
        <v>29</v>
      </c>
      <c r="B467" t="s">
        <v>51</v>
      </c>
      <c r="C467" t="s">
        <v>27</v>
      </c>
      <c r="D467" t="s">
        <v>14</v>
      </c>
      <c r="E467" s="7">
        <v>2651</v>
      </c>
      <c r="F467" s="8">
        <v>18500</v>
      </c>
      <c r="G467" s="8">
        <f t="shared" si="28"/>
        <v>23125</v>
      </c>
      <c r="H467" s="8">
        <f t="shared" si="29"/>
        <v>61304375</v>
      </c>
      <c r="I467" s="8">
        <f t="shared" si="30"/>
        <v>49043500</v>
      </c>
      <c r="J467" s="8">
        <f t="shared" si="31"/>
        <v>12260875</v>
      </c>
      <c r="K467" s="9">
        <v>45965</v>
      </c>
      <c r="L467" s="10">
        <f>Table1[[#This Row],[Profit]]/Table1[[#This Row],[Sales]]</f>
        <v>0.2</v>
      </c>
    </row>
    <row r="468" spans="1:12">
      <c r="A468" t="s">
        <v>29</v>
      </c>
      <c r="B468" t="s">
        <v>88</v>
      </c>
      <c r="C468" t="s">
        <v>13</v>
      </c>
      <c r="D468" t="s">
        <v>14</v>
      </c>
      <c r="E468" s="7">
        <v>1049</v>
      </c>
      <c r="F468" s="8">
        <v>5300</v>
      </c>
      <c r="G468" s="8">
        <f t="shared" si="28"/>
        <v>6625</v>
      </c>
      <c r="H468" s="8">
        <f t="shared" si="29"/>
        <v>6949625</v>
      </c>
      <c r="I468" s="8">
        <f t="shared" si="30"/>
        <v>5559700</v>
      </c>
      <c r="J468" s="8">
        <f t="shared" si="31"/>
        <v>1389925</v>
      </c>
      <c r="K468" s="9">
        <v>45966</v>
      </c>
      <c r="L468" s="10">
        <f>Table1[[#This Row],[Profit]]/Table1[[#This Row],[Sales]]</f>
        <v>0.2</v>
      </c>
    </row>
    <row r="469" spans="1:12">
      <c r="A469" t="s">
        <v>29</v>
      </c>
      <c r="B469" t="s">
        <v>88</v>
      </c>
      <c r="C469" t="s">
        <v>13</v>
      </c>
      <c r="D469" t="s">
        <v>14</v>
      </c>
      <c r="E469" s="7">
        <v>1319</v>
      </c>
      <c r="F469" s="8">
        <v>2100</v>
      </c>
      <c r="G469" s="8">
        <f t="shared" si="28"/>
        <v>2625</v>
      </c>
      <c r="H469" s="8">
        <f t="shared" si="29"/>
        <v>3462375</v>
      </c>
      <c r="I469" s="8">
        <f t="shared" si="30"/>
        <v>2769900</v>
      </c>
      <c r="J469" s="8">
        <f t="shared" si="31"/>
        <v>692475</v>
      </c>
      <c r="K469" s="9">
        <v>45968</v>
      </c>
      <c r="L469" s="10">
        <f>Table1[[#This Row],[Profit]]/Table1[[#This Row],[Sales]]</f>
        <v>0.2</v>
      </c>
    </row>
    <row r="470" spans="1:12">
      <c r="A470" t="s">
        <v>29</v>
      </c>
      <c r="B470" t="s">
        <v>88</v>
      </c>
      <c r="C470" t="s">
        <v>79</v>
      </c>
      <c r="D470" t="s">
        <v>14</v>
      </c>
      <c r="E470" s="7">
        <v>829</v>
      </c>
      <c r="F470" s="8">
        <v>7700</v>
      </c>
      <c r="G470" s="8">
        <f t="shared" si="28"/>
        <v>9625</v>
      </c>
      <c r="H470" s="8">
        <f t="shared" si="29"/>
        <v>7979125</v>
      </c>
      <c r="I470" s="8">
        <f t="shared" si="30"/>
        <v>6383300</v>
      </c>
      <c r="J470" s="8">
        <f t="shared" si="31"/>
        <v>1595825</v>
      </c>
      <c r="K470" s="9">
        <v>45968</v>
      </c>
      <c r="L470" s="10">
        <f>Table1[[#This Row],[Profit]]/Table1[[#This Row],[Sales]]</f>
        <v>0.2</v>
      </c>
    </row>
    <row r="471" spans="1:12">
      <c r="A471" t="s">
        <v>29</v>
      </c>
      <c r="B471" t="s">
        <v>77</v>
      </c>
      <c r="C471" t="s">
        <v>27</v>
      </c>
      <c r="D471" t="s">
        <v>14</v>
      </c>
      <c r="E471" s="7">
        <v>1138</v>
      </c>
      <c r="F471" s="8">
        <v>20900</v>
      </c>
      <c r="G471" s="8">
        <f t="shared" si="28"/>
        <v>26125</v>
      </c>
      <c r="H471" s="8">
        <f t="shared" si="29"/>
        <v>29730250</v>
      </c>
      <c r="I471" s="8">
        <f t="shared" si="30"/>
        <v>23784200</v>
      </c>
      <c r="J471" s="8">
        <f t="shared" si="31"/>
        <v>5946050</v>
      </c>
      <c r="K471" s="9">
        <v>45969</v>
      </c>
      <c r="L471" s="10">
        <f>Table1[[#This Row],[Profit]]/Table1[[#This Row],[Sales]]</f>
        <v>0.2</v>
      </c>
    </row>
    <row r="472" spans="1:12">
      <c r="A472" t="s">
        <v>29</v>
      </c>
      <c r="B472" t="s">
        <v>20</v>
      </c>
      <c r="C472" t="s">
        <v>17</v>
      </c>
      <c r="D472" t="s">
        <v>14</v>
      </c>
      <c r="E472" s="7">
        <v>2836</v>
      </c>
      <c r="F472" s="8">
        <v>13800</v>
      </c>
      <c r="G472" s="8">
        <f t="shared" si="28"/>
        <v>17250</v>
      </c>
      <c r="H472" s="8">
        <f t="shared" si="29"/>
        <v>48921000</v>
      </c>
      <c r="I472" s="8">
        <f t="shared" si="30"/>
        <v>39136800</v>
      </c>
      <c r="J472" s="8">
        <f t="shared" si="31"/>
        <v>9784200</v>
      </c>
      <c r="K472" s="9">
        <v>45970</v>
      </c>
      <c r="L472" s="10">
        <f>Table1[[#This Row],[Profit]]/Table1[[#This Row],[Sales]]</f>
        <v>0.2</v>
      </c>
    </row>
    <row r="473" spans="1:12">
      <c r="A473" t="s">
        <v>29</v>
      </c>
      <c r="B473" t="s">
        <v>97</v>
      </c>
      <c r="C473" t="s">
        <v>68</v>
      </c>
      <c r="D473" t="s">
        <v>14</v>
      </c>
      <c r="E473" s="7">
        <v>1130</v>
      </c>
      <c r="F473" s="8">
        <v>12500</v>
      </c>
      <c r="G473" s="8">
        <f t="shared" si="28"/>
        <v>15625</v>
      </c>
      <c r="H473" s="8">
        <f t="shared" si="29"/>
        <v>17656250</v>
      </c>
      <c r="I473" s="8">
        <f t="shared" si="30"/>
        <v>14125000</v>
      </c>
      <c r="J473" s="8">
        <f t="shared" si="31"/>
        <v>3531250</v>
      </c>
      <c r="K473" s="9">
        <v>45970</v>
      </c>
      <c r="L473" s="10">
        <f>Table1[[#This Row],[Profit]]/Table1[[#This Row],[Sales]]</f>
        <v>0.2</v>
      </c>
    </row>
    <row r="474" spans="1:12">
      <c r="A474" t="s">
        <v>29</v>
      </c>
      <c r="B474" t="s">
        <v>36</v>
      </c>
      <c r="C474" t="s">
        <v>13</v>
      </c>
      <c r="D474" t="s">
        <v>14</v>
      </c>
      <c r="E474" s="7">
        <v>800</v>
      </c>
      <c r="F474" s="8">
        <v>15100</v>
      </c>
      <c r="G474" s="8">
        <f t="shared" si="28"/>
        <v>18875</v>
      </c>
      <c r="H474" s="8">
        <f t="shared" si="29"/>
        <v>15100000</v>
      </c>
      <c r="I474" s="8">
        <f t="shared" si="30"/>
        <v>12080000</v>
      </c>
      <c r="J474" s="8">
        <f t="shared" si="31"/>
        <v>3020000</v>
      </c>
      <c r="K474" s="9">
        <v>45971</v>
      </c>
      <c r="L474" s="10">
        <f>Table1[[#This Row],[Profit]]/Table1[[#This Row],[Sales]]</f>
        <v>0.2</v>
      </c>
    </row>
    <row r="475" spans="1:12">
      <c r="A475" t="s">
        <v>29</v>
      </c>
      <c r="B475" t="s">
        <v>36</v>
      </c>
      <c r="C475" t="s">
        <v>79</v>
      </c>
      <c r="D475" t="s">
        <v>14</v>
      </c>
      <c r="E475" s="7">
        <v>2429</v>
      </c>
      <c r="F475" s="8">
        <v>21200</v>
      </c>
      <c r="G475" s="8">
        <f t="shared" si="28"/>
        <v>26500</v>
      </c>
      <c r="H475" s="8">
        <f t="shared" si="29"/>
        <v>64368500</v>
      </c>
      <c r="I475" s="8">
        <f t="shared" si="30"/>
        <v>51494800</v>
      </c>
      <c r="J475" s="8">
        <f t="shared" si="31"/>
        <v>12873700</v>
      </c>
      <c r="K475" s="9">
        <v>45972</v>
      </c>
      <c r="L475" s="10">
        <f>Table1[[#This Row],[Profit]]/Table1[[#This Row],[Sales]]</f>
        <v>0.2</v>
      </c>
    </row>
    <row r="476" spans="1:12">
      <c r="A476" t="s">
        <v>29</v>
      </c>
      <c r="B476" t="s">
        <v>77</v>
      </c>
      <c r="C476" t="s">
        <v>21</v>
      </c>
      <c r="D476" t="s">
        <v>14</v>
      </c>
      <c r="E476" s="7">
        <v>1681</v>
      </c>
      <c r="F476" s="8">
        <v>16400</v>
      </c>
      <c r="G476" s="8">
        <f t="shared" si="28"/>
        <v>20500</v>
      </c>
      <c r="H476" s="8">
        <f t="shared" si="29"/>
        <v>34460500</v>
      </c>
      <c r="I476" s="8">
        <f t="shared" si="30"/>
        <v>27568400</v>
      </c>
      <c r="J476" s="8">
        <f t="shared" si="31"/>
        <v>6892100</v>
      </c>
      <c r="K476" s="9">
        <v>45976</v>
      </c>
      <c r="L476" s="10">
        <f>Table1[[#This Row],[Profit]]/Table1[[#This Row],[Sales]]</f>
        <v>0.2</v>
      </c>
    </row>
    <row r="477" spans="1:12">
      <c r="A477" t="s">
        <v>29</v>
      </c>
      <c r="B477" t="s">
        <v>26</v>
      </c>
      <c r="C477" t="s">
        <v>17</v>
      </c>
      <c r="D477" t="s">
        <v>14</v>
      </c>
      <c r="E477" s="7">
        <v>360</v>
      </c>
      <c r="F477" s="8">
        <v>10000</v>
      </c>
      <c r="G477" s="8">
        <f t="shared" si="28"/>
        <v>12500</v>
      </c>
      <c r="H477" s="8">
        <f t="shared" si="29"/>
        <v>4500000</v>
      </c>
      <c r="I477" s="8">
        <f t="shared" si="30"/>
        <v>3600000</v>
      </c>
      <c r="J477" s="8">
        <f t="shared" si="31"/>
        <v>900000</v>
      </c>
      <c r="K477" s="9">
        <v>45977</v>
      </c>
      <c r="L477" s="10">
        <f>Table1[[#This Row],[Profit]]/Table1[[#This Row],[Sales]]</f>
        <v>0.2</v>
      </c>
    </row>
    <row r="478" spans="1:12">
      <c r="A478" t="s">
        <v>29</v>
      </c>
      <c r="B478" t="s">
        <v>20</v>
      </c>
      <c r="C478" t="s">
        <v>17</v>
      </c>
      <c r="D478" t="s">
        <v>14</v>
      </c>
      <c r="E478" s="7">
        <v>2344</v>
      </c>
      <c r="F478" s="8">
        <v>14200</v>
      </c>
      <c r="G478" s="8">
        <f t="shared" si="28"/>
        <v>17750</v>
      </c>
      <c r="H478" s="8">
        <f t="shared" si="29"/>
        <v>41606000</v>
      </c>
      <c r="I478" s="8">
        <f t="shared" si="30"/>
        <v>33284800</v>
      </c>
      <c r="J478" s="8">
        <f t="shared" si="31"/>
        <v>8321200</v>
      </c>
      <c r="K478" s="9">
        <v>45978</v>
      </c>
      <c r="L478" s="10">
        <f>Table1[[#This Row],[Profit]]/Table1[[#This Row],[Sales]]</f>
        <v>0.2</v>
      </c>
    </row>
    <row r="479" spans="1:12">
      <c r="A479" t="s">
        <v>29</v>
      </c>
      <c r="B479" t="s">
        <v>97</v>
      </c>
      <c r="C479" t="s">
        <v>37</v>
      </c>
      <c r="D479" t="s">
        <v>14</v>
      </c>
      <c r="E479" s="7">
        <v>1594</v>
      </c>
      <c r="F479" s="8">
        <v>4600</v>
      </c>
      <c r="G479" s="8">
        <f t="shared" si="28"/>
        <v>5750</v>
      </c>
      <c r="H479" s="8">
        <f t="shared" si="29"/>
        <v>9165500</v>
      </c>
      <c r="I479" s="8">
        <f t="shared" si="30"/>
        <v>7332400</v>
      </c>
      <c r="J479" s="8">
        <f t="shared" si="31"/>
        <v>1833100</v>
      </c>
      <c r="K479" s="9">
        <v>45981</v>
      </c>
      <c r="L479" s="10">
        <f>Table1[[#This Row],[Profit]]/Table1[[#This Row],[Sales]]</f>
        <v>0.2</v>
      </c>
    </row>
    <row r="480" spans="1:12">
      <c r="A480" t="s">
        <v>29</v>
      </c>
      <c r="B480" t="s">
        <v>88</v>
      </c>
      <c r="C480" t="s">
        <v>27</v>
      </c>
      <c r="D480" t="s">
        <v>14</v>
      </c>
      <c r="E480" s="7">
        <v>769</v>
      </c>
      <c r="F480" s="8">
        <v>23200</v>
      </c>
      <c r="G480" s="8">
        <f t="shared" si="28"/>
        <v>29000</v>
      </c>
      <c r="H480" s="8">
        <f t="shared" si="29"/>
        <v>22301000</v>
      </c>
      <c r="I480" s="8">
        <f t="shared" si="30"/>
        <v>17840800</v>
      </c>
      <c r="J480" s="8">
        <f t="shared" si="31"/>
        <v>4460200</v>
      </c>
      <c r="K480" s="9">
        <v>45984</v>
      </c>
      <c r="L480" s="10">
        <f>Table1[[#This Row],[Profit]]/Table1[[#This Row],[Sales]]</f>
        <v>0.2</v>
      </c>
    </row>
    <row r="481" spans="1:12">
      <c r="A481" t="s">
        <v>29</v>
      </c>
      <c r="B481" t="s">
        <v>26</v>
      </c>
      <c r="C481" t="s">
        <v>17</v>
      </c>
      <c r="D481" t="s">
        <v>14</v>
      </c>
      <c r="E481" s="7">
        <v>760</v>
      </c>
      <c r="F481" s="8">
        <v>12000</v>
      </c>
      <c r="G481" s="8">
        <f t="shared" si="28"/>
        <v>15000</v>
      </c>
      <c r="H481" s="8">
        <f t="shared" si="29"/>
        <v>11400000</v>
      </c>
      <c r="I481" s="8">
        <f t="shared" si="30"/>
        <v>9120000</v>
      </c>
      <c r="J481" s="8">
        <f t="shared" si="31"/>
        <v>2280000</v>
      </c>
      <c r="K481" s="9">
        <v>45984</v>
      </c>
      <c r="L481" s="10">
        <f>Table1[[#This Row],[Profit]]/Table1[[#This Row],[Sales]]</f>
        <v>0.2</v>
      </c>
    </row>
    <row r="482" spans="1:12">
      <c r="A482" t="s">
        <v>29</v>
      </c>
      <c r="B482" t="s">
        <v>26</v>
      </c>
      <c r="C482" t="s">
        <v>37</v>
      </c>
      <c r="D482" t="s">
        <v>14</v>
      </c>
      <c r="E482" s="7">
        <v>1460</v>
      </c>
      <c r="F482" s="8">
        <v>18700</v>
      </c>
      <c r="G482" s="8">
        <f t="shared" si="28"/>
        <v>23375</v>
      </c>
      <c r="H482" s="8">
        <f t="shared" si="29"/>
        <v>34127500</v>
      </c>
      <c r="I482" s="8">
        <f t="shared" si="30"/>
        <v>27302000</v>
      </c>
      <c r="J482" s="8">
        <f t="shared" si="31"/>
        <v>6825500</v>
      </c>
      <c r="K482" s="9">
        <v>45986</v>
      </c>
      <c r="L482" s="10">
        <f>Table1[[#This Row],[Profit]]/Table1[[#This Row],[Sales]]</f>
        <v>0.2</v>
      </c>
    </row>
    <row r="483" spans="1:12">
      <c r="A483" t="s">
        <v>29</v>
      </c>
      <c r="B483" t="s">
        <v>98</v>
      </c>
      <c r="C483" t="s">
        <v>37</v>
      </c>
      <c r="D483" t="s">
        <v>14</v>
      </c>
      <c r="E483" s="7">
        <v>2649</v>
      </c>
      <c r="F483" s="8">
        <v>6400</v>
      </c>
      <c r="G483" s="8">
        <f t="shared" si="28"/>
        <v>8000</v>
      </c>
      <c r="H483" s="8">
        <f t="shared" si="29"/>
        <v>21192000</v>
      </c>
      <c r="I483" s="8">
        <f t="shared" si="30"/>
        <v>16953600</v>
      </c>
      <c r="J483" s="8">
        <f t="shared" si="31"/>
        <v>4238400</v>
      </c>
      <c r="K483" s="9">
        <v>45988</v>
      </c>
      <c r="L483" s="10">
        <f>Table1[[#This Row],[Profit]]/Table1[[#This Row],[Sales]]</f>
        <v>0.2</v>
      </c>
    </row>
    <row r="484" spans="1:12">
      <c r="A484" t="s">
        <v>29</v>
      </c>
      <c r="B484" t="s">
        <v>20</v>
      </c>
      <c r="C484" t="s">
        <v>63</v>
      </c>
      <c r="D484" t="s">
        <v>14</v>
      </c>
      <c r="E484" s="7">
        <v>979</v>
      </c>
      <c r="F484" s="8">
        <v>19200</v>
      </c>
      <c r="G484" s="8">
        <f t="shared" si="28"/>
        <v>24000</v>
      </c>
      <c r="H484" s="8">
        <f t="shared" si="29"/>
        <v>23496000</v>
      </c>
      <c r="I484" s="8">
        <f t="shared" si="30"/>
        <v>18796800</v>
      </c>
      <c r="J484" s="8">
        <f t="shared" si="31"/>
        <v>4699200</v>
      </c>
      <c r="K484" s="9">
        <v>45989</v>
      </c>
      <c r="L484" s="10">
        <f>Table1[[#This Row],[Profit]]/Table1[[#This Row],[Sales]]</f>
        <v>0.2</v>
      </c>
    </row>
    <row r="485" spans="1:12">
      <c r="A485" t="s">
        <v>29</v>
      </c>
      <c r="B485" t="s">
        <v>77</v>
      </c>
      <c r="C485" t="s">
        <v>37</v>
      </c>
      <c r="D485" t="s">
        <v>14</v>
      </c>
      <c r="E485" s="7">
        <v>2770</v>
      </c>
      <c r="F485" s="8">
        <v>4700</v>
      </c>
      <c r="G485" s="8">
        <f t="shared" si="28"/>
        <v>5875</v>
      </c>
      <c r="H485" s="8">
        <f t="shared" si="29"/>
        <v>16273750</v>
      </c>
      <c r="I485" s="8">
        <f t="shared" si="30"/>
        <v>13019000</v>
      </c>
      <c r="J485" s="8">
        <f t="shared" si="31"/>
        <v>3254750</v>
      </c>
      <c r="K485" s="9">
        <v>45990</v>
      </c>
      <c r="L485" s="10">
        <f>Table1[[#This Row],[Profit]]/Table1[[#This Row],[Sales]]</f>
        <v>0.2</v>
      </c>
    </row>
    <row r="486" spans="1:12">
      <c r="A486" t="s">
        <v>29</v>
      </c>
      <c r="B486" t="s">
        <v>39</v>
      </c>
      <c r="C486" t="s">
        <v>63</v>
      </c>
      <c r="D486" t="s">
        <v>14</v>
      </c>
      <c r="E486" s="7">
        <v>973</v>
      </c>
      <c r="F486" s="8">
        <v>15500</v>
      </c>
      <c r="G486" s="8">
        <f t="shared" si="28"/>
        <v>19375</v>
      </c>
      <c r="H486" s="8">
        <f t="shared" si="29"/>
        <v>18851875</v>
      </c>
      <c r="I486" s="8">
        <f t="shared" si="30"/>
        <v>15081500</v>
      </c>
      <c r="J486" s="8">
        <f t="shared" si="31"/>
        <v>3770375</v>
      </c>
      <c r="K486" s="9">
        <v>45992</v>
      </c>
      <c r="L486" s="10">
        <f>Table1[[#This Row],[Profit]]/Table1[[#This Row],[Sales]]</f>
        <v>0.2</v>
      </c>
    </row>
    <row r="487" spans="1:12">
      <c r="A487" t="s">
        <v>29</v>
      </c>
      <c r="B487" t="s">
        <v>51</v>
      </c>
      <c r="C487" t="s">
        <v>21</v>
      </c>
      <c r="D487" t="s">
        <v>14</v>
      </c>
      <c r="E487" s="7">
        <v>1975</v>
      </c>
      <c r="F487" s="8">
        <v>20300</v>
      </c>
      <c r="G487" s="8">
        <f t="shared" si="28"/>
        <v>25375</v>
      </c>
      <c r="H487" s="8">
        <f t="shared" si="29"/>
        <v>50115625</v>
      </c>
      <c r="I487" s="8">
        <f t="shared" si="30"/>
        <v>40092500</v>
      </c>
      <c r="J487" s="8">
        <f t="shared" si="31"/>
        <v>10023125</v>
      </c>
      <c r="K487" s="9">
        <v>45994</v>
      </c>
      <c r="L487" s="10">
        <f>Table1[[#This Row],[Profit]]/Table1[[#This Row],[Sales]]</f>
        <v>0.2</v>
      </c>
    </row>
    <row r="488" spans="1:12">
      <c r="A488" t="s">
        <v>29</v>
      </c>
      <c r="B488" t="s">
        <v>51</v>
      </c>
      <c r="C488" t="s">
        <v>79</v>
      </c>
      <c r="D488" t="s">
        <v>14</v>
      </c>
      <c r="E488" s="7">
        <v>1001</v>
      </c>
      <c r="F488" s="8">
        <v>10100</v>
      </c>
      <c r="G488" s="8">
        <f t="shared" si="28"/>
        <v>12625</v>
      </c>
      <c r="H488" s="8">
        <f t="shared" si="29"/>
        <v>12637625</v>
      </c>
      <c r="I488" s="8">
        <f t="shared" si="30"/>
        <v>10110100</v>
      </c>
      <c r="J488" s="8">
        <f t="shared" si="31"/>
        <v>2527525</v>
      </c>
      <c r="K488" s="9">
        <v>46005</v>
      </c>
      <c r="L488" s="10">
        <f>Table1[[#This Row],[Profit]]/Table1[[#This Row],[Sales]]</f>
        <v>0.2</v>
      </c>
    </row>
    <row r="489" spans="1:12">
      <c r="A489" t="s">
        <v>29</v>
      </c>
      <c r="B489" t="s">
        <v>51</v>
      </c>
      <c r="C489" t="s">
        <v>31</v>
      </c>
      <c r="D489" t="s">
        <v>14</v>
      </c>
      <c r="E489" s="7">
        <v>1790</v>
      </c>
      <c r="F489" s="8">
        <v>19100</v>
      </c>
      <c r="G489" s="8">
        <f t="shared" si="28"/>
        <v>23875</v>
      </c>
      <c r="H489" s="8">
        <f t="shared" si="29"/>
        <v>42736250</v>
      </c>
      <c r="I489" s="8">
        <f t="shared" si="30"/>
        <v>34189000</v>
      </c>
      <c r="J489" s="8">
        <f t="shared" si="31"/>
        <v>8547250</v>
      </c>
      <c r="K489" s="9">
        <v>46006</v>
      </c>
      <c r="L489" s="10">
        <f>Table1[[#This Row],[Profit]]/Table1[[#This Row],[Sales]]</f>
        <v>0.2</v>
      </c>
    </row>
    <row r="490" spans="1:12">
      <c r="A490" t="s">
        <v>29</v>
      </c>
      <c r="B490" t="s">
        <v>20</v>
      </c>
      <c r="C490" t="s">
        <v>63</v>
      </c>
      <c r="D490" t="s">
        <v>14</v>
      </c>
      <c r="E490" s="7">
        <v>752</v>
      </c>
      <c r="F490" s="8">
        <v>2800</v>
      </c>
      <c r="G490" s="8">
        <f t="shared" si="28"/>
        <v>3500</v>
      </c>
      <c r="H490" s="8">
        <f t="shared" si="29"/>
        <v>2632000</v>
      </c>
      <c r="I490" s="8">
        <f t="shared" si="30"/>
        <v>2105600</v>
      </c>
      <c r="J490" s="8">
        <f t="shared" si="31"/>
        <v>526400</v>
      </c>
      <c r="K490" s="9">
        <v>46008</v>
      </c>
      <c r="L490" s="10">
        <f>Table1[[#This Row],[Profit]]/Table1[[#This Row],[Sales]]</f>
        <v>0.2</v>
      </c>
    </row>
    <row r="491" spans="1:12">
      <c r="A491" t="s">
        <v>29</v>
      </c>
      <c r="B491" t="s">
        <v>26</v>
      </c>
      <c r="C491" t="s">
        <v>37</v>
      </c>
      <c r="D491" t="s">
        <v>14</v>
      </c>
      <c r="E491" s="7">
        <v>2048</v>
      </c>
      <c r="F491" s="8">
        <v>3000</v>
      </c>
      <c r="G491" s="8">
        <f t="shared" si="28"/>
        <v>3750</v>
      </c>
      <c r="H491" s="8">
        <f t="shared" si="29"/>
        <v>7680000</v>
      </c>
      <c r="I491" s="8">
        <f t="shared" si="30"/>
        <v>6144000</v>
      </c>
      <c r="J491" s="8">
        <f t="shared" si="31"/>
        <v>1536000</v>
      </c>
      <c r="K491" s="9">
        <v>46010</v>
      </c>
      <c r="L491" s="10">
        <f>Table1[[#This Row],[Profit]]/Table1[[#This Row],[Sales]]</f>
        <v>0.2</v>
      </c>
    </row>
    <row r="492" spans="1:12">
      <c r="A492" t="s">
        <v>29</v>
      </c>
      <c r="B492" t="s">
        <v>98</v>
      </c>
      <c r="C492" t="s">
        <v>17</v>
      </c>
      <c r="D492" t="s">
        <v>14</v>
      </c>
      <c r="E492" s="7">
        <v>1637</v>
      </c>
      <c r="F492" s="8">
        <v>20400</v>
      </c>
      <c r="G492" s="8">
        <f t="shared" si="28"/>
        <v>25500</v>
      </c>
      <c r="H492" s="8">
        <f t="shared" si="29"/>
        <v>41743500</v>
      </c>
      <c r="I492" s="8">
        <f t="shared" si="30"/>
        <v>33394800</v>
      </c>
      <c r="J492" s="8">
        <f t="shared" si="31"/>
        <v>8348700</v>
      </c>
      <c r="K492" s="9">
        <v>46010</v>
      </c>
      <c r="L492" s="10">
        <f>Table1[[#This Row],[Profit]]/Table1[[#This Row],[Sales]]</f>
        <v>0.2</v>
      </c>
    </row>
    <row r="493" spans="1:12">
      <c r="A493" t="s">
        <v>29</v>
      </c>
      <c r="B493" t="s">
        <v>51</v>
      </c>
      <c r="C493" t="s">
        <v>17</v>
      </c>
      <c r="D493" t="s">
        <v>14</v>
      </c>
      <c r="E493" s="7">
        <v>1002</v>
      </c>
      <c r="F493" s="8">
        <v>9700</v>
      </c>
      <c r="G493" s="8">
        <f t="shared" si="28"/>
        <v>12125</v>
      </c>
      <c r="H493" s="8">
        <f t="shared" si="29"/>
        <v>12149250</v>
      </c>
      <c r="I493" s="8">
        <f t="shared" si="30"/>
        <v>9719400</v>
      </c>
      <c r="J493" s="8">
        <f t="shared" si="31"/>
        <v>2429850</v>
      </c>
      <c r="K493" s="9">
        <v>46013</v>
      </c>
      <c r="L493" s="10">
        <f>Table1[[#This Row],[Profit]]/Table1[[#This Row],[Sales]]</f>
        <v>0.2</v>
      </c>
    </row>
    <row r="494" spans="1:12">
      <c r="A494" t="s">
        <v>29</v>
      </c>
      <c r="B494" t="s">
        <v>62</v>
      </c>
      <c r="C494" t="s">
        <v>17</v>
      </c>
      <c r="D494" t="s">
        <v>14</v>
      </c>
      <c r="E494" s="7">
        <v>2363</v>
      </c>
      <c r="F494" s="8">
        <v>1700</v>
      </c>
      <c r="G494" s="8">
        <f t="shared" si="28"/>
        <v>2125</v>
      </c>
      <c r="H494" s="8">
        <f t="shared" si="29"/>
        <v>5021375</v>
      </c>
      <c r="I494" s="8">
        <f t="shared" si="30"/>
        <v>4017100</v>
      </c>
      <c r="J494" s="8">
        <f t="shared" si="31"/>
        <v>1004275</v>
      </c>
      <c r="K494" s="9">
        <v>46013</v>
      </c>
      <c r="L494" s="10">
        <f>Table1[[#This Row],[Profit]]/Table1[[#This Row],[Sales]]</f>
        <v>0.2</v>
      </c>
    </row>
    <row r="495" spans="1:12">
      <c r="A495" t="s">
        <v>29</v>
      </c>
      <c r="B495" t="s">
        <v>39</v>
      </c>
      <c r="C495" t="s">
        <v>34</v>
      </c>
      <c r="D495" t="s">
        <v>14</v>
      </c>
      <c r="E495" s="7">
        <v>449</v>
      </c>
      <c r="F495" s="8">
        <v>14300</v>
      </c>
      <c r="G495" s="8">
        <f t="shared" si="28"/>
        <v>17875</v>
      </c>
      <c r="H495" s="8">
        <f t="shared" si="29"/>
        <v>8025875</v>
      </c>
      <c r="I495" s="8">
        <f t="shared" si="30"/>
        <v>6420700</v>
      </c>
      <c r="J495" s="8">
        <f t="shared" si="31"/>
        <v>1605175</v>
      </c>
      <c r="K495" s="9">
        <v>46013</v>
      </c>
      <c r="L495" s="10">
        <f>Table1[[#This Row],[Profit]]/Table1[[#This Row],[Sales]]</f>
        <v>0.2</v>
      </c>
    </row>
    <row r="496" spans="1:12">
      <c r="A496" t="s">
        <v>29</v>
      </c>
      <c r="B496" t="s">
        <v>26</v>
      </c>
      <c r="C496" t="s">
        <v>79</v>
      </c>
      <c r="D496" t="s">
        <v>14</v>
      </c>
      <c r="E496" s="7">
        <v>800</v>
      </c>
      <c r="F496" s="8">
        <v>20000</v>
      </c>
      <c r="G496" s="8">
        <f t="shared" si="28"/>
        <v>25000</v>
      </c>
      <c r="H496" s="8">
        <f t="shared" si="29"/>
        <v>20000000</v>
      </c>
      <c r="I496" s="8">
        <f t="shared" si="30"/>
        <v>16000000</v>
      </c>
      <c r="J496" s="8">
        <f t="shared" si="31"/>
        <v>4000000</v>
      </c>
      <c r="K496" s="9">
        <v>46015</v>
      </c>
      <c r="L496" s="10">
        <f>Table1[[#This Row],[Profit]]/Table1[[#This Row],[Sales]]</f>
        <v>0.2</v>
      </c>
    </row>
    <row r="497" spans="1:12">
      <c r="A497" t="s">
        <v>29</v>
      </c>
      <c r="B497" t="s">
        <v>39</v>
      </c>
      <c r="C497" t="s">
        <v>17</v>
      </c>
      <c r="D497" t="s">
        <v>14</v>
      </c>
      <c r="E497" s="7">
        <v>830</v>
      </c>
      <c r="F497" s="8">
        <v>22400</v>
      </c>
      <c r="G497" s="8">
        <f t="shared" si="28"/>
        <v>28000</v>
      </c>
      <c r="H497" s="8">
        <f t="shared" si="29"/>
        <v>23240000</v>
      </c>
      <c r="I497" s="8">
        <f t="shared" si="30"/>
        <v>18592000</v>
      </c>
      <c r="J497" s="8">
        <f t="shared" si="31"/>
        <v>4648000</v>
      </c>
      <c r="K497" s="9">
        <v>46016</v>
      </c>
      <c r="L497" s="10">
        <f>Table1[[#This Row],[Profit]]/Table1[[#This Row],[Sales]]</f>
        <v>0.2</v>
      </c>
    </row>
    <row r="498" spans="1:12">
      <c r="A498" t="s">
        <v>29</v>
      </c>
      <c r="B498" t="s">
        <v>20</v>
      </c>
      <c r="C498" t="s">
        <v>31</v>
      </c>
      <c r="D498" t="s">
        <v>14</v>
      </c>
      <c r="E498" s="7">
        <v>2697</v>
      </c>
      <c r="F498" s="8">
        <v>10300</v>
      </c>
      <c r="G498" s="8">
        <f t="shared" si="28"/>
        <v>12875</v>
      </c>
      <c r="H498" s="8">
        <f t="shared" si="29"/>
        <v>34723875</v>
      </c>
      <c r="I498" s="8">
        <f t="shared" si="30"/>
        <v>27779100</v>
      </c>
      <c r="J498" s="8">
        <f t="shared" si="31"/>
        <v>6944775</v>
      </c>
      <c r="K498" s="9">
        <v>46018</v>
      </c>
      <c r="L498" s="10">
        <f>Table1[[#This Row],[Profit]]/Table1[[#This Row],[Sales]]</f>
        <v>0.2</v>
      </c>
    </row>
    <row r="499" spans="1:12">
      <c r="A499" t="s">
        <v>29</v>
      </c>
      <c r="B499" t="s">
        <v>26</v>
      </c>
      <c r="C499" t="s">
        <v>37</v>
      </c>
      <c r="D499" t="s">
        <v>14</v>
      </c>
      <c r="E499" s="7">
        <v>217</v>
      </c>
      <c r="F499" s="8">
        <v>7700</v>
      </c>
      <c r="G499" s="8">
        <f t="shared" si="28"/>
        <v>9625</v>
      </c>
      <c r="H499" s="8">
        <f t="shared" si="29"/>
        <v>2088625</v>
      </c>
      <c r="I499" s="8">
        <f t="shared" si="30"/>
        <v>1670900</v>
      </c>
      <c r="J499" s="8">
        <f t="shared" si="31"/>
        <v>417725</v>
      </c>
      <c r="K499" s="9">
        <v>46019</v>
      </c>
      <c r="L499" s="10">
        <f>Table1[[#This Row],[Profit]]/Table1[[#This Row],[Sales]]</f>
        <v>0.2</v>
      </c>
    </row>
    <row r="500" spans="1:12">
      <c r="A500" t="s">
        <v>29</v>
      </c>
      <c r="B500" t="s">
        <v>88</v>
      </c>
      <c r="C500" t="s">
        <v>31</v>
      </c>
      <c r="D500" t="s">
        <v>14</v>
      </c>
      <c r="E500" s="7">
        <v>1027</v>
      </c>
      <c r="F500" s="8">
        <v>9600</v>
      </c>
      <c r="G500" s="8">
        <f t="shared" si="28"/>
        <v>12000</v>
      </c>
      <c r="H500" s="8">
        <f t="shared" si="29"/>
        <v>12324000</v>
      </c>
      <c r="I500" s="8">
        <f t="shared" si="30"/>
        <v>9859200</v>
      </c>
      <c r="J500" s="8">
        <f t="shared" si="31"/>
        <v>2464800</v>
      </c>
      <c r="K500" s="9">
        <v>46020</v>
      </c>
      <c r="L500" s="10">
        <f>Table1[[#This Row],[Profit]]/Table1[[#This Row],[Sales]]</f>
        <v>0.2</v>
      </c>
    </row>
    <row r="501" spans="1:12">
      <c r="A501" t="s">
        <v>29</v>
      </c>
      <c r="B501" t="s">
        <v>77</v>
      </c>
      <c r="C501" t="s">
        <v>17</v>
      </c>
      <c r="D501" t="s">
        <v>14</v>
      </c>
      <c r="E501" s="7">
        <v>1468</v>
      </c>
      <c r="F501" s="8">
        <v>3600</v>
      </c>
      <c r="G501" s="8">
        <f t="shared" si="28"/>
        <v>4500</v>
      </c>
      <c r="H501" s="8">
        <f t="shared" si="29"/>
        <v>6606000</v>
      </c>
      <c r="I501" s="8">
        <f t="shared" si="30"/>
        <v>5284800</v>
      </c>
      <c r="J501" s="8">
        <f t="shared" si="31"/>
        <v>1321200</v>
      </c>
      <c r="K501" s="9">
        <v>46021</v>
      </c>
      <c r="L501" s="10">
        <f>Table1[[#This Row],[Profit]]/Table1[[#This Row],[Sales]]</f>
        <v>0.2</v>
      </c>
    </row>
    <row r="502" spans="1:12">
      <c r="A502" t="s">
        <v>29</v>
      </c>
      <c r="B502" t="s">
        <v>77</v>
      </c>
      <c r="C502" t="s">
        <v>63</v>
      </c>
      <c r="D502" t="s">
        <v>14</v>
      </c>
      <c r="E502" s="7">
        <v>2493</v>
      </c>
      <c r="F502" s="8">
        <v>6500</v>
      </c>
      <c r="G502" s="8">
        <f t="shared" si="28"/>
        <v>8125</v>
      </c>
      <c r="H502" s="8">
        <f t="shared" si="29"/>
        <v>20255625</v>
      </c>
      <c r="I502" s="8">
        <f t="shared" si="30"/>
        <v>16204500</v>
      </c>
      <c r="J502" s="8">
        <f t="shared" si="31"/>
        <v>4051125</v>
      </c>
      <c r="K502" s="9">
        <v>46022</v>
      </c>
      <c r="L502" s="10">
        <f>Table1[[#This Row],[Profit]]/Table1[[#This Row],[Sales]]</f>
        <v>0.2</v>
      </c>
    </row>
    <row r="503" spans="1:12">
      <c r="A503" t="s">
        <v>11</v>
      </c>
      <c r="B503" t="s">
        <v>98</v>
      </c>
      <c r="C503" t="s">
        <v>34</v>
      </c>
      <c r="D503" t="s">
        <v>14</v>
      </c>
      <c r="E503" s="7">
        <v>173</v>
      </c>
      <c r="F503" s="8">
        <v>12700</v>
      </c>
      <c r="G503" s="8">
        <f t="shared" si="28"/>
        <v>15875</v>
      </c>
      <c r="H503" s="8">
        <f t="shared" si="29"/>
        <v>2746375</v>
      </c>
      <c r="I503" s="8">
        <f t="shared" si="30"/>
        <v>2197100</v>
      </c>
      <c r="J503" s="8">
        <f t="shared" si="31"/>
        <v>549275</v>
      </c>
      <c r="K503" s="9">
        <v>45658</v>
      </c>
      <c r="L503" s="10">
        <f>Table1[[#This Row],[Profit]]/Table1[[#This Row],[Sales]]</f>
        <v>0.2</v>
      </c>
    </row>
    <row r="504" spans="1:12">
      <c r="A504" t="s">
        <v>11</v>
      </c>
      <c r="B504" t="s">
        <v>39</v>
      </c>
      <c r="C504" t="s">
        <v>31</v>
      </c>
      <c r="D504" t="s">
        <v>14</v>
      </c>
      <c r="E504" s="7">
        <v>2068</v>
      </c>
      <c r="F504" s="8">
        <v>21300</v>
      </c>
      <c r="G504" s="8">
        <f t="shared" si="28"/>
        <v>26625</v>
      </c>
      <c r="H504" s="8">
        <f t="shared" si="29"/>
        <v>55060500</v>
      </c>
      <c r="I504" s="8">
        <f t="shared" si="30"/>
        <v>44048400</v>
      </c>
      <c r="J504" s="8">
        <f t="shared" si="31"/>
        <v>11012100</v>
      </c>
      <c r="K504" s="9">
        <v>45660</v>
      </c>
      <c r="L504" s="10">
        <f>Table1[[#This Row],[Profit]]/Table1[[#This Row],[Sales]]</f>
        <v>0.2</v>
      </c>
    </row>
    <row r="505" spans="1:12">
      <c r="A505" t="s">
        <v>11</v>
      </c>
      <c r="B505" t="s">
        <v>36</v>
      </c>
      <c r="C505" t="s">
        <v>37</v>
      </c>
      <c r="D505" t="s">
        <v>14</v>
      </c>
      <c r="E505" s="7">
        <v>171</v>
      </c>
      <c r="F505" s="8">
        <v>15900</v>
      </c>
      <c r="G505" s="8">
        <f t="shared" si="28"/>
        <v>19875</v>
      </c>
      <c r="H505" s="8">
        <f t="shared" si="29"/>
        <v>3398625</v>
      </c>
      <c r="I505" s="8">
        <f t="shared" si="30"/>
        <v>2718900</v>
      </c>
      <c r="J505" s="8">
        <f t="shared" si="31"/>
        <v>679725</v>
      </c>
      <c r="K505" s="9">
        <v>45661</v>
      </c>
      <c r="L505" s="10">
        <f>Table1[[#This Row],[Profit]]/Table1[[#This Row],[Sales]]</f>
        <v>0.2</v>
      </c>
    </row>
    <row r="506" spans="1:12">
      <c r="A506" t="s">
        <v>11</v>
      </c>
      <c r="B506" t="s">
        <v>98</v>
      </c>
      <c r="C506" t="s">
        <v>34</v>
      </c>
      <c r="D506" t="s">
        <v>14</v>
      </c>
      <c r="E506" s="7">
        <v>2824</v>
      </c>
      <c r="F506" s="8">
        <v>10000</v>
      </c>
      <c r="G506" s="8">
        <f t="shared" si="28"/>
        <v>12500</v>
      </c>
      <c r="H506" s="8">
        <f t="shared" si="29"/>
        <v>35300000</v>
      </c>
      <c r="I506" s="8">
        <f t="shared" si="30"/>
        <v>28240000</v>
      </c>
      <c r="J506" s="8">
        <f t="shared" si="31"/>
        <v>7060000</v>
      </c>
      <c r="K506" s="9">
        <v>45671</v>
      </c>
      <c r="L506" s="10">
        <f>Table1[[#This Row],[Profit]]/Table1[[#This Row],[Sales]]</f>
        <v>0.2</v>
      </c>
    </row>
    <row r="507" spans="1:12">
      <c r="A507" t="s">
        <v>11</v>
      </c>
      <c r="B507" t="s">
        <v>77</v>
      </c>
      <c r="C507" t="s">
        <v>31</v>
      </c>
      <c r="D507" t="s">
        <v>14</v>
      </c>
      <c r="E507" s="7">
        <v>1411</v>
      </c>
      <c r="F507" s="8">
        <v>13700</v>
      </c>
      <c r="G507" s="8">
        <f t="shared" si="28"/>
        <v>17125</v>
      </c>
      <c r="H507" s="8">
        <f t="shared" si="29"/>
        <v>24163375</v>
      </c>
      <c r="I507" s="8">
        <f t="shared" si="30"/>
        <v>19330700</v>
      </c>
      <c r="J507" s="8">
        <f t="shared" si="31"/>
        <v>4832675</v>
      </c>
      <c r="K507" s="9">
        <v>45673</v>
      </c>
      <c r="L507" s="10">
        <f>Table1[[#This Row],[Profit]]/Table1[[#This Row],[Sales]]</f>
        <v>0.2</v>
      </c>
    </row>
    <row r="508" spans="1:12">
      <c r="A508" t="s">
        <v>11</v>
      </c>
      <c r="B508" t="s">
        <v>97</v>
      </c>
      <c r="C508" t="s">
        <v>63</v>
      </c>
      <c r="D508" t="s">
        <v>14</v>
      </c>
      <c r="E508" s="7">
        <v>453</v>
      </c>
      <c r="F508" s="8">
        <v>3800</v>
      </c>
      <c r="G508" s="8">
        <f t="shared" si="28"/>
        <v>4750</v>
      </c>
      <c r="H508" s="8">
        <f t="shared" si="29"/>
        <v>2151750</v>
      </c>
      <c r="I508" s="8">
        <f t="shared" si="30"/>
        <v>1721400</v>
      </c>
      <c r="J508" s="8">
        <f t="shared" si="31"/>
        <v>430350</v>
      </c>
      <c r="K508" s="9">
        <v>45677</v>
      </c>
      <c r="L508" s="10">
        <f>Table1[[#This Row],[Profit]]/Table1[[#This Row],[Sales]]</f>
        <v>0.2</v>
      </c>
    </row>
    <row r="509" spans="1:12">
      <c r="A509" t="s">
        <v>11</v>
      </c>
      <c r="B509" t="s">
        <v>88</v>
      </c>
      <c r="C509" t="s">
        <v>31</v>
      </c>
      <c r="D509" t="s">
        <v>14</v>
      </c>
      <c r="E509" s="7">
        <v>2665</v>
      </c>
      <c r="F509" s="8">
        <v>3700</v>
      </c>
      <c r="G509" s="8">
        <f t="shared" si="28"/>
        <v>4625</v>
      </c>
      <c r="H509" s="8">
        <f t="shared" si="29"/>
        <v>12325625</v>
      </c>
      <c r="I509" s="8">
        <f t="shared" si="30"/>
        <v>9860500</v>
      </c>
      <c r="J509" s="8">
        <f t="shared" si="31"/>
        <v>2465125</v>
      </c>
      <c r="K509" s="9">
        <v>45680</v>
      </c>
      <c r="L509" s="10">
        <f>Table1[[#This Row],[Profit]]/Table1[[#This Row],[Sales]]</f>
        <v>0.2</v>
      </c>
    </row>
    <row r="510" spans="1:12">
      <c r="A510" t="s">
        <v>11</v>
      </c>
      <c r="B510" t="s">
        <v>51</v>
      </c>
      <c r="C510" t="s">
        <v>27</v>
      </c>
      <c r="D510" t="s">
        <v>14</v>
      </c>
      <c r="E510" s="7">
        <v>2162</v>
      </c>
      <c r="F510" s="8">
        <v>24500</v>
      </c>
      <c r="G510" s="8">
        <f t="shared" si="28"/>
        <v>30625</v>
      </c>
      <c r="H510" s="8">
        <f t="shared" si="29"/>
        <v>66211250</v>
      </c>
      <c r="I510" s="8">
        <f t="shared" si="30"/>
        <v>52969000</v>
      </c>
      <c r="J510" s="8">
        <f t="shared" si="31"/>
        <v>13242250</v>
      </c>
      <c r="K510" s="9">
        <v>45683</v>
      </c>
      <c r="L510" s="10">
        <f>Table1[[#This Row],[Profit]]/Table1[[#This Row],[Sales]]</f>
        <v>0.2</v>
      </c>
    </row>
    <row r="511" spans="1:12">
      <c r="A511" t="s">
        <v>11</v>
      </c>
      <c r="B511" t="s">
        <v>77</v>
      </c>
      <c r="C511" t="s">
        <v>13</v>
      </c>
      <c r="D511" t="s">
        <v>14</v>
      </c>
      <c r="E511" s="7">
        <v>2413</v>
      </c>
      <c r="F511" s="8">
        <v>6400</v>
      </c>
      <c r="G511" s="8">
        <f t="shared" si="28"/>
        <v>8000</v>
      </c>
      <c r="H511" s="8">
        <f t="shared" si="29"/>
        <v>19304000</v>
      </c>
      <c r="I511" s="8">
        <f t="shared" si="30"/>
        <v>15443200</v>
      </c>
      <c r="J511" s="8">
        <f t="shared" si="31"/>
        <v>3860800</v>
      </c>
      <c r="K511" s="9">
        <v>45685</v>
      </c>
      <c r="L511" s="10">
        <f>Table1[[#This Row],[Profit]]/Table1[[#This Row],[Sales]]</f>
        <v>0.2</v>
      </c>
    </row>
    <row r="512" spans="1:12">
      <c r="A512" t="s">
        <v>11</v>
      </c>
      <c r="B512" t="s">
        <v>77</v>
      </c>
      <c r="C512" t="s">
        <v>63</v>
      </c>
      <c r="D512" t="s">
        <v>14</v>
      </c>
      <c r="E512" s="7">
        <v>1536</v>
      </c>
      <c r="F512" s="8">
        <v>21900</v>
      </c>
      <c r="G512" s="8">
        <f t="shared" si="28"/>
        <v>27375</v>
      </c>
      <c r="H512" s="8">
        <f t="shared" si="29"/>
        <v>42048000</v>
      </c>
      <c r="I512" s="8">
        <f t="shared" si="30"/>
        <v>33638400</v>
      </c>
      <c r="J512" s="8">
        <f t="shared" si="31"/>
        <v>8409600</v>
      </c>
      <c r="K512" s="9">
        <v>45688</v>
      </c>
      <c r="L512" s="10">
        <f>Table1[[#This Row],[Profit]]/Table1[[#This Row],[Sales]]</f>
        <v>0.2</v>
      </c>
    </row>
    <row r="513" spans="1:12">
      <c r="A513" t="s">
        <v>11</v>
      </c>
      <c r="B513" t="s">
        <v>36</v>
      </c>
      <c r="C513" t="s">
        <v>68</v>
      </c>
      <c r="D513" t="s">
        <v>14</v>
      </c>
      <c r="E513" s="7">
        <v>1108</v>
      </c>
      <c r="F513" s="8">
        <v>11800</v>
      </c>
      <c r="G513" s="8">
        <f t="shared" si="28"/>
        <v>14750</v>
      </c>
      <c r="H513" s="8">
        <f t="shared" si="29"/>
        <v>16343000</v>
      </c>
      <c r="I513" s="8">
        <f t="shared" si="30"/>
        <v>13074400</v>
      </c>
      <c r="J513" s="8">
        <f t="shared" si="31"/>
        <v>3268600</v>
      </c>
      <c r="K513" s="9">
        <v>45689</v>
      </c>
      <c r="L513" s="10">
        <f>Table1[[#This Row],[Profit]]/Table1[[#This Row],[Sales]]</f>
        <v>0.2</v>
      </c>
    </row>
    <row r="514" spans="1:12">
      <c r="A514" t="s">
        <v>11</v>
      </c>
      <c r="B514" t="s">
        <v>97</v>
      </c>
      <c r="C514" t="s">
        <v>17</v>
      </c>
      <c r="D514" t="s">
        <v>14</v>
      </c>
      <c r="E514" s="7">
        <v>562</v>
      </c>
      <c r="F514" s="8">
        <v>22300</v>
      </c>
      <c r="G514" s="8">
        <f t="shared" ref="G514:G577" si="32">ROUNDDOWN(F514/100,0)*100*1.25</f>
        <v>27875</v>
      </c>
      <c r="H514" s="8">
        <f t="shared" ref="H514:H577" si="33">E514*G514</f>
        <v>15665750</v>
      </c>
      <c r="I514" s="8">
        <f t="shared" ref="I514:I577" si="34">E514*F514</f>
        <v>12532600</v>
      </c>
      <c r="J514" s="8">
        <f t="shared" ref="J514:J577" si="35">H514-I514</f>
        <v>3133150</v>
      </c>
      <c r="K514" s="9">
        <v>45689</v>
      </c>
      <c r="L514" s="10">
        <f>Table1[[#This Row],[Profit]]/Table1[[#This Row],[Sales]]</f>
        <v>0.2</v>
      </c>
    </row>
    <row r="515" spans="1:12">
      <c r="A515" t="s">
        <v>11</v>
      </c>
      <c r="B515" t="s">
        <v>36</v>
      </c>
      <c r="C515" t="s">
        <v>63</v>
      </c>
      <c r="D515" t="s">
        <v>14</v>
      </c>
      <c r="E515" s="7">
        <v>1568</v>
      </c>
      <c r="F515" s="8">
        <v>13600</v>
      </c>
      <c r="G515" s="8">
        <f t="shared" si="32"/>
        <v>17000</v>
      </c>
      <c r="H515" s="8">
        <f t="shared" si="33"/>
        <v>26656000</v>
      </c>
      <c r="I515" s="8">
        <f t="shared" si="34"/>
        <v>21324800</v>
      </c>
      <c r="J515" s="8">
        <f t="shared" si="35"/>
        <v>5331200</v>
      </c>
      <c r="K515" s="9">
        <v>45689</v>
      </c>
      <c r="L515" s="10">
        <f>Table1[[#This Row],[Profit]]/Table1[[#This Row],[Sales]]</f>
        <v>0.2</v>
      </c>
    </row>
    <row r="516" spans="1:12">
      <c r="A516" t="s">
        <v>11</v>
      </c>
      <c r="B516" t="s">
        <v>36</v>
      </c>
      <c r="C516" t="s">
        <v>34</v>
      </c>
      <c r="D516" t="s">
        <v>14</v>
      </c>
      <c r="E516" s="7">
        <v>1248</v>
      </c>
      <c r="F516" s="8">
        <v>18800</v>
      </c>
      <c r="G516" s="8">
        <f t="shared" si="32"/>
        <v>23500</v>
      </c>
      <c r="H516" s="8">
        <f t="shared" si="33"/>
        <v>29328000</v>
      </c>
      <c r="I516" s="8">
        <f t="shared" si="34"/>
        <v>23462400</v>
      </c>
      <c r="J516" s="8">
        <f t="shared" si="35"/>
        <v>5865600</v>
      </c>
      <c r="K516" s="9">
        <v>45691</v>
      </c>
      <c r="L516" s="10">
        <f>Table1[[#This Row],[Profit]]/Table1[[#This Row],[Sales]]</f>
        <v>0.2</v>
      </c>
    </row>
    <row r="517" spans="1:12">
      <c r="A517" t="s">
        <v>11</v>
      </c>
      <c r="B517" t="s">
        <v>98</v>
      </c>
      <c r="C517" t="s">
        <v>27</v>
      </c>
      <c r="D517" t="s">
        <v>14</v>
      </c>
      <c r="E517" s="7">
        <v>510</v>
      </c>
      <c r="F517" s="8">
        <v>4200</v>
      </c>
      <c r="G517" s="8">
        <f t="shared" si="32"/>
        <v>5250</v>
      </c>
      <c r="H517" s="8">
        <f t="shared" si="33"/>
        <v>2677500</v>
      </c>
      <c r="I517" s="8">
        <f t="shared" si="34"/>
        <v>2142000</v>
      </c>
      <c r="J517" s="8">
        <f t="shared" si="35"/>
        <v>535500</v>
      </c>
      <c r="K517" s="9">
        <v>45692</v>
      </c>
      <c r="L517" s="10">
        <f>Table1[[#This Row],[Profit]]/Table1[[#This Row],[Sales]]</f>
        <v>0.2</v>
      </c>
    </row>
    <row r="518" spans="1:12">
      <c r="A518" t="s">
        <v>11</v>
      </c>
      <c r="B518" t="s">
        <v>36</v>
      </c>
      <c r="C518" t="s">
        <v>37</v>
      </c>
      <c r="D518" t="s">
        <v>14</v>
      </c>
      <c r="E518" s="7">
        <v>523</v>
      </c>
      <c r="F518" s="8">
        <v>17300</v>
      </c>
      <c r="G518" s="8">
        <f t="shared" si="32"/>
        <v>21625</v>
      </c>
      <c r="H518" s="8">
        <f t="shared" si="33"/>
        <v>11309875</v>
      </c>
      <c r="I518" s="8">
        <f t="shared" si="34"/>
        <v>9047900</v>
      </c>
      <c r="J518" s="8">
        <f t="shared" si="35"/>
        <v>2261975</v>
      </c>
      <c r="K518" s="9">
        <v>45693</v>
      </c>
      <c r="L518" s="10">
        <f>Table1[[#This Row],[Profit]]/Table1[[#This Row],[Sales]]</f>
        <v>0.2</v>
      </c>
    </row>
    <row r="519" spans="1:12">
      <c r="A519" t="s">
        <v>11</v>
      </c>
      <c r="B519" t="s">
        <v>62</v>
      </c>
      <c r="C519" t="s">
        <v>63</v>
      </c>
      <c r="D519" t="s">
        <v>14</v>
      </c>
      <c r="E519" s="7">
        <v>1982</v>
      </c>
      <c r="F519" s="8">
        <v>11400</v>
      </c>
      <c r="G519" s="8">
        <f t="shared" si="32"/>
        <v>14250</v>
      </c>
      <c r="H519" s="8">
        <f t="shared" si="33"/>
        <v>28243500</v>
      </c>
      <c r="I519" s="8">
        <f t="shared" si="34"/>
        <v>22594800</v>
      </c>
      <c r="J519" s="8">
        <f t="shared" si="35"/>
        <v>5648700</v>
      </c>
      <c r="K519" s="9">
        <v>45696</v>
      </c>
      <c r="L519" s="10">
        <f>Table1[[#This Row],[Profit]]/Table1[[#This Row],[Sales]]</f>
        <v>0.2</v>
      </c>
    </row>
    <row r="520" spans="1:12">
      <c r="A520" t="s">
        <v>11</v>
      </c>
      <c r="B520" t="s">
        <v>36</v>
      </c>
      <c r="C520" t="s">
        <v>63</v>
      </c>
      <c r="D520" t="s">
        <v>14</v>
      </c>
      <c r="E520" s="7">
        <v>1437</v>
      </c>
      <c r="F520" s="8">
        <v>14100</v>
      </c>
      <c r="G520" s="8">
        <f t="shared" si="32"/>
        <v>17625</v>
      </c>
      <c r="H520" s="8">
        <f t="shared" si="33"/>
        <v>25327125</v>
      </c>
      <c r="I520" s="8">
        <f t="shared" si="34"/>
        <v>20261700</v>
      </c>
      <c r="J520" s="8">
        <f t="shared" si="35"/>
        <v>5065425</v>
      </c>
      <c r="K520" s="9">
        <v>45696</v>
      </c>
      <c r="L520" s="10">
        <f>Table1[[#This Row],[Profit]]/Table1[[#This Row],[Sales]]</f>
        <v>0.2</v>
      </c>
    </row>
    <row r="521" spans="1:12">
      <c r="A521" t="s">
        <v>11</v>
      </c>
      <c r="B521" t="s">
        <v>36</v>
      </c>
      <c r="C521" t="s">
        <v>63</v>
      </c>
      <c r="D521" t="s">
        <v>14</v>
      </c>
      <c r="E521" s="7">
        <v>418</v>
      </c>
      <c r="F521" s="8">
        <v>13200</v>
      </c>
      <c r="G521" s="8">
        <f t="shared" si="32"/>
        <v>16500</v>
      </c>
      <c r="H521" s="8">
        <f t="shared" si="33"/>
        <v>6897000</v>
      </c>
      <c r="I521" s="8">
        <f t="shared" si="34"/>
        <v>5517600</v>
      </c>
      <c r="J521" s="8">
        <f t="shared" si="35"/>
        <v>1379400</v>
      </c>
      <c r="K521" s="9">
        <v>45697</v>
      </c>
      <c r="L521" s="10">
        <f>Table1[[#This Row],[Profit]]/Table1[[#This Row],[Sales]]</f>
        <v>0.2</v>
      </c>
    </row>
    <row r="522" spans="1:12">
      <c r="A522" t="s">
        <v>11</v>
      </c>
      <c r="B522" t="s">
        <v>20</v>
      </c>
      <c r="C522" t="s">
        <v>68</v>
      </c>
      <c r="D522" t="s">
        <v>14</v>
      </c>
      <c r="E522" s="7">
        <v>2483</v>
      </c>
      <c r="F522" s="8">
        <v>15100</v>
      </c>
      <c r="G522" s="8">
        <f t="shared" si="32"/>
        <v>18875</v>
      </c>
      <c r="H522" s="8">
        <f t="shared" si="33"/>
        <v>46866625</v>
      </c>
      <c r="I522" s="8">
        <f t="shared" si="34"/>
        <v>37493300</v>
      </c>
      <c r="J522" s="8">
        <f t="shared" si="35"/>
        <v>9373325</v>
      </c>
      <c r="K522" s="9">
        <v>45698</v>
      </c>
      <c r="L522" s="10">
        <f>Table1[[#This Row],[Profit]]/Table1[[#This Row],[Sales]]</f>
        <v>0.2</v>
      </c>
    </row>
    <row r="523" spans="1:12">
      <c r="A523" t="s">
        <v>11</v>
      </c>
      <c r="B523" t="s">
        <v>98</v>
      </c>
      <c r="C523" t="s">
        <v>13</v>
      </c>
      <c r="D523" t="s">
        <v>14</v>
      </c>
      <c r="E523" s="7">
        <v>2056</v>
      </c>
      <c r="F523" s="8">
        <v>19500</v>
      </c>
      <c r="G523" s="8">
        <f t="shared" si="32"/>
        <v>24375</v>
      </c>
      <c r="H523" s="8">
        <f t="shared" si="33"/>
        <v>50115000</v>
      </c>
      <c r="I523" s="8">
        <f t="shared" si="34"/>
        <v>40092000</v>
      </c>
      <c r="J523" s="8">
        <f t="shared" si="35"/>
        <v>10023000</v>
      </c>
      <c r="K523" s="9">
        <v>45704</v>
      </c>
      <c r="L523" s="10">
        <f>Table1[[#This Row],[Profit]]/Table1[[#This Row],[Sales]]</f>
        <v>0.2</v>
      </c>
    </row>
    <row r="524" spans="1:12">
      <c r="A524" t="s">
        <v>11</v>
      </c>
      <c r="B524" t="s">
        <v>39</v>
      </c>
      <c r="C524" t="s">
        <v>31</v>
      </c>
      <c r="D524" t="s">
        <v>14</v>
      </c>
      <c r="E524" s="7">
        <v>1688</v>
      </c>
      <c r="F524" s="8">
        <v>3300</v>
      </c>
      <c r="G524" s="8">
        <f t="shared" si="32"/>
        <v>4125</v>
      </c>
      <c r="H524" s="8">
        <f t="shared" si="33"/>
        <v>6963000</v>
      </c>
      <c r="I524" s="8">
        <f t="shared" si="34"/>
        <v>5570400</v>
      </c>
      <c r="J524" s="8">
        <f t="shared" si="35"/>
        <v>1392600</v>
      </c>
      <c r="K524" s="9">
        <v>45705</v>
      </c>
      <c r="L524" s="10">
        <f>Table1[[#This Row],[Profit]]/Table1[[#This Row],[Sales]]</f>
        <v>0.2</v>
      </c>
    </row>
    <row r="525" spans="1:12">
      <c r="A525" t="s">
        <v>11</v>
      </c>
      <c r="B525" t="s">
        <v>62</v>
      </c>
      <c r="C525" t="s">
        <v>34</v>
      </c>
      <c r="D525" t="s">
        <v>14</v>
      </c>
      <c r="E525" s="7">
        <v>1045</v>
      </c>
      <c r="F525" s="8">
        <v>19100</v>
      </c>
      <c r="G525" s="8">
        <f t="shared" si="32"/>
        <v>23875</v>
      </c>
      <c r="H525" s="8">
        <f t="shared" si="33"/>
        <v>24949375</v>
      </c>
      <c r="I525" s="8">
        <f t="shared" si="34"/>
        <v>19959500</v>
      </c>
      <c r="J525" s="8">
        <f t="shared" si="35"/>
        <v>4989875</v>
      </c>
      <c r="K525" s="9">
        <v>45707</v>
      </c>
      <c r="L525" s="10">
        <f>Table1[[#This Row],[Profit]]/Table1[[#This Row],[Sales]]</f>
        <v>0.2</v>
      </c>
    </row>
    <row r="526" spans="1:12">
      <c r="A526" t="s">
        <v>11</v>
      </c>
      <c r="B526" t="s">
        <v>88</v>
      </c>
      <c r="C526" t="s">
        <v>13</v>
      </c>
      <c r="D526" t="s">
        <v>14</v>
      </c>
      <c r="E526" s="7">
        <v>2147</v>
      </c>
      <c r="F526" s="8">
        <v>14500</v>
      </c>
      <c r="G526" s="8">
        <f t="shared" si="32"/>
        <v>18125</v>
      </c>
      <c r="H526" s="8">
        <f t="shared" si="33"/>
        <v>38914375</v>
      </c>
      <c r="I526" s="8">
        <f t="shared" si="34"/>
        <v>31131500</v>
      </c>
      <c r="J526" s="8">
        <f t="shared" si="35"/>
        <v>7782875</v>
      </c>
      <c r="K526" s="9">
        <v>45708</v>
      </c>
      <c r="L526" s="10">
        <f>Table1[[#This Row],[Profit]]/Table1[[#This Row],[Sales]]</f>
        <v>0.2</v>
      </c>
    </row>
    <row r="527" spans="1:12">
      <c r="A527" t="s">
        <v>11</v>
      </c>
      <c r="B527" t="s">
        <v>26</v>
      </c>
      <c r="C527" t="s">
        <v>68</v>
      </c>
      <c r="D527" t="s">
        <v>14</v>
      </c>
      <c r="E527" s="7">
        <v>2144</v>
      </c>
      <c r="F527" s="8">
        <v>4500</v>
      </c>
      <c r="G527" s="8">
        <f t="shared" si="32"/>
        <v>5625</v>
      </c>
      <c r="H527" s="8">
        <f t="shared" si="33"/>
        <v>12060000</v>
      </c>
      <c r="I527" s="8">
        <f t="shared" si="34"/>
        <v>9648000</v>
      </c>
      <c r="J527" s="8">
        <f t="shared" si="35"/>
        <v>2412000</v>
      </c>
      <c r="K527" s="9">
        <v>45709</v>
      </c>
      <c r="L527" s="10">
        <f>Table1[[#This Row],[Profit]]/Table1[[#This Row],[Sales]]</f>
        <v>0.2</v>
      </c>
    </row>
    <row r="528" spans="1:12">
      <c r="A528" t="s">
        <v>11</v>
      </c>
      <c r="B528" t="s">
        <v>51</v>
      </c>
      <c r="C528" t="s">
        <v>34</v>
      </c>
      <c r="D528" t="s">
        <v>14</v>
      </c>
      <c r="E528" s="7">
        <v>1567</v>
      </c>
      <c r="F528" s="8">
        <v>24600</v>
      </c>
      <c r="G528" s="8">
        <f t="shared" si="32"/>
        <v>30750</v>
      </c>
      <c r="H528" s="8">
        <f t="shared" si="33"/>
        <v>48185250</v>
      </c>
      <c r="I528" s="8">
        <f t="shared" si="34"/>
        <v>38548200</v>
      </c>
      <c r="J528" s="8">
        <f t="shared" si="35"/>
        <v>9637050</v>
      </c>
      <c r="K528" s="9">
        <v>45710</v>
      </c>
      <c r="L528" s="10">
        <f>Table1[[#This Row],[Profit]]/Table1[[#This Row],[Sales]]</f>
        <v>0.2</v>
      </c>
    </row>
    <row r="529" spans="1:12">
      <c r="A529" t="s">
        <v>11</v>
      </c>
      <c r="B529" t="s">
        <v>39</v>
      </c>
      <c r="C529" t="s">
        <v>63</v>
      </c>
      <c r="D529" t="s">
        <v>14</v>
      </c>
      <c r="E529" s="7">
        <v>2779</v>
      </c>
      <c r="F529" s="8">
        <v>15800</v>
      </c>
      <c r="G529" s="8">
        <f t="shared" si="32"/>
        <v>19750</v>
      </c>
      <c r="H529" s="8">
        <f t="shared" si="33"/>
        <v>54885250</v>
      </c>
      <c r="I529" s="8">
        <f t="shared" si="34"/>
        <v>43908200</v>
      </c>
      <c r="J529" s="8">
        <f t="shared" si="35"/>
        <v>10977050</v>
      </c>
      <c r="K529" s="9">
        <v>45712</v>
      </c>
      <c r="L529" s="10">
        <f>Table1[[#This Row],[Profit]]/Table1[[#This Row],[Sales]]</f>
        <v>0.2</v>
      </c>
    </row>
    <row r="530" spans="1:12">
      <c r="A530" t="s">
        <v>11</v>
      </c>
      <c r="B530" t="s">
        <v>39</v>
      </c>
      <c r="C530" t="s">
        <v>79</v>
      </c>
      <c r="D530" t="s">
        <v>14</v>
      </c>
      <c r="E530" s="7">
        <v>2534</v>
      </c>
      <c r="F530" s="8">
        <v>12700</v>
      </c>
      <c r="G530" s="8">
        <f t="shared" si="32"/>
        <v>15875</v>
      </c>
      <c r="H530" s="8">
        <f t="shared" si="33"/>
        <v>40227250</v>
      </c>
      <c r="I530" s="8">
        <f t="shared" si="34"/>
        <v>32181800</v>
      </c>
      <c r="J530" s="8">
        <f t="shared" si="35"/>
        <v>8045450</v>
      </c>
      <c r="K530" s="9">
        <v>45715</v>
      </c>
      <c r="L530" s="10">
        <f>Table1[[#This Row],[Profit]]/Table1[[#This Row],[Sales]]</f>
        <v>0.2</v>
      </c>
    </row>
    <row r="531" spans="1:12">
      <c r="A531" t="s">
        <v>11</v>
      </c>
      <c r="B531" t="s">
        <v>62</v>
      </c>
      <c r="C531" t="s">
        <v>63</v>
      </c>
      <c r="D531" t="s">
        <v>14</v>
      </c>
      <c r="E531" s="7">
        <v>767</v>
      </c>
      <c r="F531" s="8">
        <v>13000</v>
      </c>
      <c r="G531" s="8">
        <f t="shared" si="32"/>
        <v>16250</v>
      </c>
      <c r="H531" s="8">
        <f t="shared" si="33"/>
        <v>12463750</v>
      </c>
      <c r="I531" s="8">
        <f t="shared" si="34"/>
        <v>9971000</v>
      </c>
      <c r="J531" s="8">
        <f t="shared" si="35"/>
        <v>2492750</v>
      </c>
      <c r="K531" s="9">
        <v>45715</v>
      </c>
      <c r="L531" s="10">
        <f>Table1[[#This Row],[Profit]]/Table1[[#This Row],[Sales]]</f>
        <v>0.2</v>
      </c>
    </row>
    <row r="532" spans="1:12">
      <c r="A532" t="s">
        <v>11</v>
      </c>
      <c r="B532" t="s">
        <v>97</v>
      </c>
      <c r="C532" t="s">
        <v>27</v>
      </c>
      <c r="D532" t="s">
        <v>14</v>
      </c>
      <c r="E532" s="7">
        <v>1869</v>
      </c>
      <c r="F532" s="8">
        <v>22500</v>
      </c>
      <c r="G532" s="8">
        <f t="shared" si="32"/>
        <v>28125</v>
      </c>
      <c r="H532" s="8">
        <f t="shared" si="33"/>
        <v>52565625</v>
      </c>
      <c r="I532" s="8">
        <f t="shared" si="34"/>
        <v>42052500</v>
      </c>
      <c r="J532" s="8">
        <f t="shared" si="35"/>
        <v>10513125</v>
      </c>
      <c r="K532" s="9">
        <v>45716</v>
      </c>
      <c r="L532" s="10">
        <f>Table1[[#This Row],[Profit]]/Table1[[#This Row],[Sales]]</f>
        <v>0.2</v>
      </c>
    </row>
    <row r="533" spans="1:12">
      <c r="A533" t="s">
        <v>11</v>
      </c>
      <c r="B533" t="s">
        <v>39</v>
      </c>
      <c r="C533" t="s">
        <v>31</v>
      </c>
      <c r="D533" t="s">
        <v>14</v>
      </c>
      <c r="E533" s="7">
        <v>1487</v>
      </c>
      <c r="F533" s="8">
        <v>15300</v>
      </c>
      <c r="G533" s="8">
        <f t="shared" si="32"/>
        <v>19125</v>
      </c>
      <c r="H533" s="8">
        <f t="shared" si="33"/>
        <v>28438875</v>
      </c>
      <c r="I533" s="8">
        <f t="shared" si="34"/>
        <v>22751100</v>
      </c>
      <c r="J533" s="8">
        <f t="shared" si="35"/>
        <v>5687775</v>
      </c>
      <c r="K533" s="9">
        <v>45717</v>
      </c>
      <c r="L533" s="10">
        <f>Table1[[#This Row],[Profit]]/Table1[[#This Row],[Sales]]</f>
        <v>0.2</v>
      </c>
    </row>
    <row r="534" spans="1:12">
      <c r="A534" t="s">
        <v>11</v>
      </c>
      <c r="B534" t="s">
        <v>62</v>
      </c>
      <c r="C534" t="s">
        <v>17</v>
      </c>
      <c r="D534" t="s">
        <v>14</v>
      </c>
      <c r="E534" s="7">
        <v>2951</v>
      </c>
      <c r="F534" s="8">
        <v>21100</v>
      </c>
      <c r="G534" s="8">
        <f t="shared" si="32"/>
        <v>26375</v>
      </c>
      <c r="H534" s="8">
        <f t="shared" si="33"/>
        <v>77832625</v>
      </c>
      <c r="I534" s="8">
        <f t="shared" si="34"/>
        <v>62266100</v>
      </c>
      <c r="J534" s="8">
        <f t="shared" si="35"/>
        <v>15566525</v>
      </c>
      <c r="K534" s="9">
        <v>45718</v>
      </c>
      <c r="L534" s="10">
        <f>Table1[[#This Row],[Profit]]/Table1[[#This Row],[Sales]]</f>
        <v>0.2</v>
      </c>
    </row>
    <row r="535" spans="1:12">
      <c r="A535" t="s">
        <v>11</v>
      </c>
      <c r="B535" t="s">
        <v>62</v>
      </c>
      <c r="C535" t="s">
        <v>31</v>
      </c>
      <c r="D535" t="s">
        <v>14</v>
      </c>
      <c r="E535" s="7">
        <v>2014</v>
      </c>
      <c r="F535" s="8">
        <v>24000</v>
      </c>
      <c r="G535" s="8">
        <f t="shared" si="32"/>
        <v>30000</v>
      </c>
      <c r="H535" s="8">
        <f t="shared" si="33"/>
        <v>60420000</v>
      </c>
      <c r="I535" s="8">
        <f t="shared" si="34"/>
        <v>48336000</v>
      </c>
      <c r="J535" s="8">
        <f t="shared" si="35"/>
        <v>12084000</v>
      </c>
      <c r="K535" s="9">
        <v>45719</v>
      </c>
      <c r="L535" s="10">
        <f>Table1[[#This Row],[Profit]]/Table1[[#This Row],[Sales]]</f>
        <v>0.2</v>
      </c>
    </row>
    <row r="536" spans="1:12">
      <c r="A536" t="s">
        <v>11</v>
      </c>
      <c r="B536" t="s">
        <v>26</v>
      </c>
      <c r="C536" t="s">
        <v>13</v>
      </c>
      <c r="D536" t="s">
        <v>14</v>
      </c>
      <c r="E536" s="7">
        <v>345</v>
      </c>
      <c r="F536" s="8">
        <v>5900</v>
      </c>
      <c r="G536" s="8">
        <f t="shared" si="32"/>
        <v>7375</v>
      </c>
      <c r="H536" s="8">
        <f t="shared" si="33"/>
        <v>2544375</v>
      </c>
      <c r="I536" s="8">
        <f t="shared" si="34"/>
        <v>2035500</v>
      </c>
      <c r="J536" s="8">
        <f t="shared" si="35"/>
        <v>508875</v>
      </c>
      <c r="K536" s="9">
        <v>45719</v>
      </c>
      <c r="L536" s="10">
        <f>Table1[[#This Row],[Profit]]/Table1[[#This Row],[Sales]]</f>
        <v>0.2</v>
      </c>
    </row>
    <row r="537" spans="1:12">
      <c r="A537" t="s">
        <v>11</v>
      </c>
      <c r="B537" t="s">
        <v>36</v>
      </c>
      <c r="C537" t="s">
        <v>37</v>
      </c>
      <c r="D537" t="s">
        <v>14</v>
      </c>
      <c r="E537" s="7">
        <v>1023</v>
      </c>
      <c r="F537" s="8">
        <v>8900</v>
      </c>
      <c r="G537" s="8">
        <f t="shared" si="32"/>
        <v>11125</v>
      </c>
      <c r="H537" s="8">
        <f t="shared" si="33"/>
        <v>11380875</v>
      </c>
      <c r="I537" s="8">
        <f t="shared" si="34"/>
        <v>9104700</v>
      </c>
      <c r="J537" s="8">
        <f t="shared" si="35"/>
        <v>2276175</v>
      </c>
      <c r="K537" s="9">
        <v>45720</v>
      </c>
      <c r="L537" s="10">
        <f>Table1[[#This Row],[Profit]]/Table1[[#This Row],[Sales]]</f>
        <v>0.2</v>
      </c>
    </row>
    <row r="538" spans="1:12">
      <c r="A538" t="s">
        <v>11</v>
      </c>
      <c r="B538" t="s">
        <v>98</v>
      </c>
      <c r="C538" t="s">
        <v>17</v>
      </c>
      <c r="D538" t="s">
        <v>14</v>
      </c>
      <c r="E538" s="7">
        <v>682</v>
      </c>
      <c r="F538" s="8">
        <v>12000</v>
      </c>
      <c r="G538" s="8">
        <f t="shared" si="32"/>
        <v>15000</v>
      </c>
      <c r="H538" s="8">
        <f t="shared" si="33"/>
        <v>10230000</v>
      </c>
      <c r="I538" s="8">
        <f t="shared" si="34"/>
        <v>8184000</v>
      </c>
      <c r="J538" s="8">
        <f t="shared" si="35"/>
        <v>2046000</v>
      </c>
      <c r="K538" s="9">
        <v>45722</v>
      </c>
      <c r="L538" s="10">
        <f>Table1[[#This Row],[Profit]]/Table1[[#This Row],[Sales]]</f>
        <v>0.2</v>
      </c>
    </row>
    <row r="539" spans="1:12">
      <c r="A539" t="s">
        <v>11</v>
      </c>
      <c r="B539" t="s">
        <v>98</v>
      </c>
      <c r="C539" t="s">
        <v>21</v>
      </c>
      <c r="D539" t="s">
        <v>14</v>
      </c>
      <c r="E539" s="7">
        <v>1415</v>
      </c>
      <c r="F539" s="8">
        <v>24600</v>
      </c>
      <c r="G539" s="8">
        <f t="shared" si="32"/>
        <v>30750</v>
      </c>
      <c r="H539" s="8">
        <f t="shared" si="33"/>
        <v>43511250</v>
      </c>
      <c r="I539" s="8">
        <f t="shared" si="34"/>
        <v>34809000</v>
      </c>
      <c r="J539" s="8">
        <f t="shared" si="35"/>
        <v>8702250</v>
      </c>
      <c r="K539" s="9">
        <v>45723</v>
      </c>
      <c r="L539" s="10">
        <f>Table1[[#This Row],[Profit]]/Table1[[#This Row],[Sales]]</f>
        <v>0.2</v>
      </c>
    </row>
    <row r="540" spans="1:12">
      <c r="A540" t="s">
        <v>11</v>
      </c>
      <c r="B540" t="s">
        <v>62</v>
      </c>
      <c r="C540" t="s">
        <v>79</v>
      </c>
      <c r="D540" t="s">
        <v>14</v>
      </c>
      <c r="E540" s="7">
        <v>2580</v>
      </c>
      <c r="F540" s="8">
        <v>14900</v>
      </c>
      <c r="G540" s="8">
        <f t="shared" si="32"/>
        <v>18625</v>
      </c>
      <c r="H540" s="8">
        <f t="shared" si="33"/>
        <v>48052500</v>
      </c>
      <c r="I540" s="8">
        <f t="shared" si="34"/>
        <v>38442000</v>
      </c>
      <c r="J540" s="8">
        <f t="shared" si="35"/>
        <v>9610500</v>
      </c>
      <c r="K540" s="9">
        <v>45723</v>
      </c>
      <c r="L540" s="10">
        <f>Table1[[#This Row],[Profit]]/Table1[[#This Row],[Sales]]</f>
        <v>0.2</v>
      </c>
    </row>
    <row r="541" spans="1:12">
      <c r="A541" t="s">
        <v>11</v>
      </c>
      <c r="B541" t="s">
        <v>51</v>
      </c>
      <c r="C541" t="s">
        <v>27</v>
      </c>
      <c r="D541" t="s">
        <v>14</v>
      </c>
      <c r="E541" s="7">
        <v>1900</v>
      </c>
      <c r="F541" s="8">
        <v>4400</v>
      </c>
      <c r="G541" s="8">
        <f t="shared" si="32"/>
        <v>5500</v>
      </c>
      <c r="H541" s="8">
        <f t="shared" si="33"/>
        <v>10450000</v>
      </c>
      <c r="I541" s="8">
        <f t="shared" si="34"/>
        <v>8360000</v>
      </c>
      <c r="J541" s="8">
        <f t="shared" si="35"/>
        <v>2090000</v>
      </c>
      <c r="K541" s="9">
        <v>45724</v>
      </c>
      <c r="L541" s="10">
        <f>Table1[[#This Row],[Profit]]/Table1[[#This Row],[Sales]]</f>
        <v>0.2</v>
      </c>
    </row>
    <row r="542" spans="1:12">
      <c r="A542" t="s">
        <v>11</v>
      </c>
      <c r="B542" t="s">
        <v>77</v>
      </c>
      <c r="C542" t="s">
        <v>68</v>
      </c>
      <c r="D542" t="s">
        <v>14</v>
      </c>
      <c r="E542" s="7">
        <v>1197</v>
      </c>
      <c r="F542" s="8">
        <v>19800</v>
      </c>
      <c r="G542" s="8">
        <f t="shared" si="32"/>
        <v>24750</v>
      </c>
      <c r="H542" s="8">
        <f t="shared" si="33"/>
        <v>29625750</v>
      </c>
      <c r="I542" s="8">
        <f t="shared" si="34"/>
        <v>23700600</v>
      </c>
      <c r="J542" s="8">
        <f t="shared" si="35"/>
        <v>5925150</v>
      </c>
      <c r="K542" s="9">
        <v>45726</v>
      </c>
      <c r="L542" s="10">
        <f>Table1[[#This Row],[Profit]]/Table1[[#This Row],[Sales]]</f>
        <v>0.2</v>
      </c>
    </row>
    <row r="543" spans="1:12">
      <c r="A543" t="s">
        <v>11</v>
      </c>
      <c r="B543" t="s">
        <v>88</v>
      </c>
      <c r="C543" t="s">
        <v>79</v>
      </c>
      <c r="D543" t="s">
        <v>14</v>
      </c>
      <c r="E543" s="7">
        <v>428</v>
      </c>
      <c r="F543" s="8">
        <v>22600</v>
      </c>
      <c r="G543" s="8">
        <f t="shared" si="32"/>
        <v>28250</v>
      </c>
      <c r="H543" s="8">
        <f t="shared" si="33"/>
        <v>12091000</v>
      </c>
      <c r="I543" s="8">
        <f t="shared" si="34"/>
        <v>9672800</v>
      </c>
      <c r="J543" s="8">
        <f t="shared" si="35"/>
        <v>2418200</v>
      </c>
      <c r="K543" s="9">
        <v>45727</v>
      </c>
      <c r="L543" s="10">
        <f>Table1[[#This Row],[Profit]]/Table1[[#This Row],[Sales]]</f>
        <v>0.2</v>
      </c>
    </row>
    <row r="544" spans="1:12">
      <c r="A544" t="s">
        <v>11</v>
      </c>
      <c r="B544" t="s">
        <v>39</v>
      </c>
      <c r="C544" t="s">
        <v>37</v>
      </c>
      <c r="D544" t="s">
        <v>14</v>
      </c>
      <c r="E544" s="7">
        <v>2065</v>
      </c>
      <c r="F544" s="8">
        <v>4000</v>
      </c>
      <c r="G544" s="8">
        <f t="shared" si="32"/>
        <v>5000</v>
      </c>
      <c r="H544" s="8">
        <f t="shared" si="33"/>
        <v>10325000</v>
      </c>
      <c r="I544" s="8">
        <f t="shared" si="34"/>
        <v>8260000</v>
      </c>
      <c r="J544" s="8">
        <f t="shared" si="35"/>
        <v>2065000</v>
      </c>
      <c r="K544" s="9">
        <v>45727</v>
      </c>
      <c r="L544" s="10">
        <f>Table1[[#This Row],[Profit]]/Table1[[#This Row],[Sales]]</f>
        <v>0.2</v>
      </c>
    </row>
    <row r="545" spans="1:12">
      <c r="A545" t="s">
        <v>11</v>
      </c>
      <c r="B545" t="s">
        <v>97</v>
      </c>
      <c r="C545" t="s">
        <v>21</v>
      </c>
      <c r="D545" t="s">
        <v>14</v>
      </c>
      <c r="E545" s="7">
        <v>1160</v>
      </c>
      <c r="F545" s="8">
        <v>12200</v>
      </c>
      <c r="G545" s="8">
        <f t="shared" si="32"/>
        <v>15250</v>
      </c>
      <c r="H545" s="8">
        <f t="shared" si="33"/>
        <v>17690000</v>
      </c>
      <c r="I545" s="8">
        <f t="shared" si="34"/>
        <v>14152000</v>
      </c>
      <c r="J545" s="8">
        <f t="shared" si="35"/>
        <v>3538000</v>
      </c>
      <c r="K545" s="9">
        <v>45731</v>
      </c>
      <c r="L545" s="10">
        <f>Table1[[#This Row],[Profit]]/Table1[[#This Row],[Sales]]</f>
        <v>0.2</v>
      </c>
    </row>
    <row r="546" spans="1:12">
      <c r="A546" t="s">
        <v>11</v>
      </c>
      <c r="B546" t="s">
        <v>98</v>
      </c>
      <c r="C546" t="s">
        <v>68</v>
      </c>
      <c r="D546" t="s">
        <v>14</v>
      </c>
      <c r="E546" s="7">
        <v>1897</v>
      </c>
      <c r="F546" s="8">
        <v>19800</v>
      </c>
      <c r="G546" s="8">
        <f t="shared" si="32"/>
        <v>24750</v>
      </c>
      <c r="H546" s="8">
        <f t="shared" si="33"/>
        <v>46950750</v>
      </c>
      <c r="I546" s="8">
        <f t="shared" si="34"/>
        <v>37560600</v>
      </c>
      <c r="J546" s="8">
        <f t="shared" si="35"/>
        <v>9390150</v>
      </c>
      <c r="K546" s="9">
        <v>45733</v>
      </c>
      <c r="L546" s="10">
        <f>Table1[[#This Row],[Profit]]/Table1[[#This Row],[Sales]]</f>
        <v>0.2</v>
      </c>
    </row>
    <row r="547" spans="1:12">
      <c r="A547" t="s">
        <v>11</v>
      </c>
      <c r="B547" t="s">
        <v>88</v>
      </c>
      <c r="C547" t="s">
        <v>21</v>
      </c>
      <c r="D547" t="s">
        <v>14</v>
      </c>
      <c r="E547" s="7">
        <v>868</v>
      </c>
      <c r="F547" s="8">
        <v>17700</v>
      </c>
      <c r="G547" s="8">
        <f t="shared" si="32"/>
        <v>22125</v>
      </c>
      <c r="H547" s="8">
        <f t="shared" si="33"/>
        <v>19204500</v>
      </c>
      <c r="I547" s="8">
        <f t="shared" si="34"/>
        <v>15363600</v>
      </c>
      <c r="J547" s="8">
        <f t="shared" si="35"/>
        <v>3840900</v>
      </c>
      <c r="K547" s="9">
        <v>45736</v>
      </c>
      <c r="L547" s="10">
        <f>Table1[[#This Row],[Profit]]/Table1[[#This Row],[Sales]]</f>
        <v>0.2</v>
      </c>
    </row>
    <row r="548" spans="1:12">
      <c r="A548" t="s">
        <v>11</v>
      </c>
      <c r="B548" t="s">
        <v>97</v>
      </c>
      <c r="C548" t="s">
        <v>34</v>
      </c>
      <c r="D548" t="s">
        <v>14</v>
      </c>
      <c r="E548" s="7">
        <v>1375</v>
      </c>
      <c r="F548" s="8">
        <v>11900</v>
      </c>
      <c r="G548" s="8">
        <f t="shared" si="32"/>
        <v>14875</v>
      </c>
      <c r="H548" s="8">
        <f t="shared" si="33"/>
        <v>20453125</v>
      </c>
      <c r="I548" s="8">
        <f t="shared" si="34"/>
        <v>16362500</v>
      </c>
      <c r="J548" s="8">
        <f t="shared" si="35"/>
        <v>4090625</v>
      </c>
      <c r="K548" s="9">
        <v>45739</v>
      </c>
      <c r="L548" s="10">
        <f>Table1[[#This Row],[Profit]]/Table1[[#This Row],[Sales]]</f>
        <v>0.2</v>
      </c>
    </row>
    <row r="549" spans="1:12">
      <c r="A549" t="s">
        <v>11</v>
      </c>
      <c r="B549" t="s">
        <v>51</v>
      </c>
      <c r="C549" t="s">
        <v>17</v>
      </c>
      <c r="D549" t="s">
        <v>14</v>
      </c>
      <c r="E549" s="7">
        <v>2599</v>
      </c>
      <c r="F549" s="8">
        <v>18100</v>
      </c>
      <c r="G549" s="8">
        <f t="shared" si="32"/>
        <v>22625</v>
      </c>
      <c r="H549" s="8">
        <f t="shared" si="33"/>
        <v>58802375</v>
      </c>
      <c r="I549" s="8">
        <f t="shared" si="34"/>
        <v>47041900</v>
      </c>
      <c r="J549" s="8">
        <f t="shared" si="35"/>
        <v>11760475</v>
      </c>
      <c r="K549" s="9">
        <v>45740</v>
      </c>
      <c r="L549" s="10">
        <f>Table1[[#This Row],[Profit]]/Table1[[#This Row],[Sales]]</f>
        <v>0.2</v>
      </c>
    </row>
    <row r="550" spans="1:12">
      <c r="A550" t="s">
        <v>11</v>
      </c>
      <c r="B550" t="s">
        <v>62</v>
      </c>
      <c r="C550" t="s">
        <v>79</v>
      </c>
      <c r="D550" t="s">
        <v>14</v>
      </c>
      <c r="E550" s="7">
        <v>2442</v>
      </c>
      <c r="F550" s="8">
        <v>13900</v>
      </c>
      <c r="G550" s="8">
        <f t="shared" si="32"/>
        <v>17375</v>
      </c>
      <c r="H550" s="8">
        <f t="shared" si="33"/>
        <v>42429750</v>
      </c>
      <c r="I550" s="8">
        <f t="shared" si="34"/>
        <v>33943800</v>
      </c>
      <c r="J550" s="8">
        <f t="shared" si="35"/>
        <v>8485950</v>
      </c>
      <c r="K550" s="9">
        <v>45745</v>
      </c>
      <c r="L550" s="10">
        <f>Table1[[#This Row],[Profit]]/Table1[[#This Row],[Sales]]</f>
        <v>0.2</v>
      </c>
    </row>
    <row r="551" spans="1:12">
      <c r="A551" t="s">
        <v>11</v>
      </c>
      <c r="B551" t="s">
        <v>97</v>
      </c>
      <c r="C551" t="s">
        <v>79</v>
      </c>
      <c r="D551" t="s">
        <v>14</v>
      </c>
      <c r="E551" s="7">
        <v>1072</v>
      </c>
      <c r="F551" s="8">
        <v>20300</v>
      </c>
      <c r="G551" s="8">
        <f t="shared" si="32"/>
        <v>25375</v>
      </c>
      <c r="H551" s="8">
        <f t="shared" si="33"/>
        <v>27202000</v>
      </c>
      <c r="I551" s="8">
        <f t="shared" si="34"/>
        <v>21761600</v>
      </c>
      <c r="J551" s="8">
        <f t="shared" si="35"/>
        <v>5440400</v>
      </c>
      <c r="K551" s="9">
        <v>45748</v>
      </c>
      <c r="L551" s="10">
        <f>Table1[[#This Row],[Profit]]/Table1[[#This Row],[Sales]]</f>
        <v>0.2</v>
      </c>
    </row>
    <row r="552" spans="1:12">
      <c r="A552" t="s">
        <v>11</v>
      </c>
      <c r="B552" t="s">
        <v>36</v>
      </c>
      <c r="C552" t="s">
        <v>68</v>
      </c>
      <c r="D552" t="s">
        <v>14</v>
      </c>
      <c r="E552" s="7">
        <v>1589</v>
      </c>
      <c r="F552" s="8">
        <v>22000</v>
      </c>
      <c r="G552" s="8">
        <f t="shared" si="32"/>
        <v>27500</v>
      </c>
      <c r="H552" s="8">
        <f t="shared" si="33"/>
        <v>43697500</v>
      </c>
      <c r="I552" s="8">
        <f t="shared" si="34"/>
        <v>34958000</v>
      </c>
      <c r="J552" s="8">
        <f t="shared" si="35"/>
        <v>8739500</v>
      </c>
      <c r="K552" s="9">
        <v>45750</v>
      </c>
      <c r="L552" s="10">
        <f>Table1[[#This Row],[Profit]]/Table1[[#This Row],[Sales]]</f>
        <v>0.2</v>
      </c>
    </row>
    <row r="553" spans="1:12">
      <c r="A553" t="s">
        <v>11</v>
      </c>
      <c r="B553" t="s">
        <v>39</v>
      </c>
      <c r="C553" t="s">
        <v>79</v>
      </c>
      <c r="D553" t="s">
        <v>14</v>
      </c>
      <c r="E553" s="7">
        <v>2427</v>
      </c>
      <c r="F553" s="8">
        <v>13100</v>
      </c>
      <c r="G553" s="8">
        <f t="shared" si="32"/>
        <v>16375</v>
      </c>
      <c r="H553" s="8">
        <f t="shared" si="33"/>
        <v>39742125</v>
      </c>
      <c r="I553" s="8">
        <f t="shared" si="34"/>
        <v>31793700</v>
      </c>
      <c r="J553" s="8">
        <f t="shared" si="35"/>
        <v>7948425</v>
      </c>
      <c r="K553" s="9">
        <v>45750</v>
      </c>
      <c r="L553" s="10">
        <f>Table1[[#This Row],[Profit]]/Table1[[#This Row],[Sales]]</f>
        <v>0.2</v>
      </c>
    </row>
    <row r="554" spans="1:12">
      <c r="A554" t="s">
        <v>11</v>
      </c>
      <c r="B554" t="s">
        <v>20</v>
      </c>
      <c r="C554" t="s">
        <v>17</v>
      </c>
      <c r="D554" t="s">
        <v>14</v>
      </c>
      <c r="E554" s="7">
        <v>1453</v>
      </c>
      <c r="F554" s="8">
        <v>23600</v>
      </c>
      <c r="G554" s="8">
        <f t="shared" si="32"/>
        <v>29500</v>
      </c>
      <c r="H554" s="8">
        <f t="shared" si="33"/>
        <v>42863500</v>
      </c>
      <c r="I554" s="8">
        <f t="shared" si="34"/>
        <v>34290800</v>
      </c>
      <c r="J554" s="8">
        <f t="shared" si="35"/>
        <v>8572700</v>
      </c>
      <c r="K554" s="9">
        <v>45750</v>
      </c>
      <c r="L554" s="10">
        <f>Table1[[#This Row],[Profit]]/Table1[[#This Row],[Sales]]</f>
        <v>0.2</v>
      </c>
    </row>
    <row r="555" spans="1:12">
      <c r="A555" t="s">
        <v>11</v>
      </c>
      <c r="B555" t="s">
        <v>97</v>
      </c>
      <c r="C555" t="s">
        <v>21</v>
      </c>
      <c r="D555" t="s">
        <v>14</v>
      </c>
      <c r="E555" s="7">
        <v>1724</v>
      </c>
      <c r="F555" s="8">
        <v>7400</v>
      </c>
      <c r="G555" s="8">
        <f t="shared" si="32"/>
        <v>9250</v>
      </c>
      <c r="H555" s="8">
        <f t="shared" si="33"/>
        <v>15947000</v>
      </c>
      <c r="I555" s="8">
        <f t="shared" si="34"/>
        <v>12757600</v>
      </c>
      <c r="J555" s="8">
        <f t="shared" si="35"/>
        <v>3189400</v>
      </c>
      <c r="K555" s="9">
        <v>45750</v>
      </c>
      <c r="L555" s="10">
        <f>Table1[[#This Row],[Profit]]/Table1[[#This Row],[Sales]]</f>
        <v>0.2</v>
      </c>
    </row>
    <row r="556" spans="1:12">
      <c r="A556" t="s">
        <v>11</v>
      </c>
      <c r="B556" t="s">
        <v>51</v>
      </c>
      <c r="C556" t="s">
        <v>27</v>
      </c>
      <c r="D556" t="s">
        <v>14</v>
      </c>
      <c r="E556" s="7">
        <v>735</v>
      </c>
      <c r="F556" s="8">
        <v>15200</v>
      </c>
      <c r="G556" s="8">
        <f t="shared" si="32"/>
        <v>19000</v>
      </c>
      <c r="H556" s="8">
        <f t="shared" si="33"/>
        <v>13965000</v>
      </c>
      <c r="I556" s="8">
        <f t="shared" si="34"/>
        <v>11172000</v>
      </c>
      <c r="J556" s="8">
        <f t="shared" si="35"/>
        <v>2793000</v>
      </c>
      <c r="K556" s="9">
        <v>45759</v>
      </c>
      <c r="L556" s="10">
        <f>Table1[[#This Row],[Profit]]/Table1[[#This Row],[Sales]]</f>
        <v>0.2</v>
      </c>
    </row>
    <row r="557" spans="1:12">
      <c r="A557" t="s">
        <v>11</v>
      </c>
      <c r="B557" t="s">
        <v>39</v>
      </c>
      <c r="C557" t="s">
        <v>27</v>
      </c>
      <c r="D557" t="s">
        <v>14</v>
      </c>
      <c r="E557" s="7">
        <v>2502</v>
      </c>
      <c r="F557" s="8">
        <v>13800</v>
      </c>
      <c r="G557" s="8">
        <f t="shared" si="32"/>
        <v>17250</v>
      </c>
      <c r="H557" s="8">
        <f t="shared" si="33"/>
        <v>43159500</v>
      </c>
      <c r="I557" s="8">
        <f t="shared" si="34"/>
        <v>34527600</v>
      </c>
      <c r="J557" s="8">
        <f t="shared" si="35"/>
        <v>8631900</v>
      </c>
      <c r="K557" s="9">
        <v>45759</v>
      </c>
      <c r="L557" s="10">
        <f>Table1[[#This Row],[Profit]]/Table1[[#This Row],[Sales]]</f>
        <v>0.2</v>
      </c>
    </row>
    <row r="558" spans="1:12">
      <c r="A558" t="s">
        <v>11</v>
      </c>
      <c r="B558" t="s">
        <v>62</v>
      </c>
      <c r="C558" t="s">
        <v>63</v>
      </c>
      <c r="D558" t="s">
        <v>14</v>
      </c>
      <c r="E558" s="7">
        <v>616</v>
      </c>
      <c r="F558" s="8">
        <v>22900</v>
      </c>
      <c r="G558" s="8">
        <f t="shared" si="32"/>
        <v>28625</v>
      </c>
      <c r="H558" s="8">
        <f t="shared" si="33"/>
        <v>17633000</v>
      </c>
      <c r="I558" s="8">
        <f t="shared" si="34"/>
        <v>14106400</v>
      </c>
      <c r="J558" s="8">
        <f t="shared" si="35"/>
        <v>3526600</v>
      </c>
      <c r="K558" s="9">
        <v>45764</v>
      </c>
      <c r="L558" s="10">
        <f>Table1[[#This Row],[Profit]]/Table1[[#This Row],[Sales]]</f>
        <v>0.2</v>
      </c>
    </row>
    <row r="559" spans="1:12">
      <c r="A559" t="s">
        <v>11</v>
      </c>
      <c r="B559" t="s">
        <v>77</v>
      </c>
      <c r="C559" t="s">
        <v>31</v>
      </c>
      <c r="D559" t="s">
        <v>14</v>
      </c>
      <c r="E559" s="7">
        <v>2461</v>
      </c>
      <c r="F559" s="8">
        <v>21200</v>
      </c>
      <c r="G559" s="8">
        <f t="shared" si="32"/>
        <v>26500</v>
      </c>
      <c r="H559" s="8">
        <f t="shared" si="33"/>
        <v>65216500</v>
      </c>
      <c r="I559" s="8">
        <f t="shared" si="34"/>
        <v>52173200</v>
      </c>
      <c r="J559" s="8">
        <f t="shared" si="35"/>
        <v>13043300</v>
      </c>
      <c r="K559" s="9">
        <v>45764</v>
      </c>
      <c r="L559" s="10">
        <f>Table1[[#This Row],[Profit]]/Table1[[#This Row],[Sales]]</f>
        <v>0.2</v>
      </c>
    </row>
    <row r="560" spans="1:12">
      <c r="A560" t="s">
        <v>11</v>
      </c>
      <c r="B560" t="s">
        <v>62</v>
      </c>
      <c r="C560" t="s">
        <v>21</v>
      </c>
      <c r="D560" t="s">
        <v>14</v>
      </c>
      <c r="E560" s="7">
        <v>325</v>
      </c>
      <c r="F560" s="8">
        <v>11500</v>
      </c>
      <c r="G560" s="8">
        <f t="shared" si="32"/>
        <v>14375</v>
      </c>
      <c r="H560" s="8">
        <f t="shared" si="33"/>
        <v>4671875</v>
      </c>
      <c r="I560" s="8">
        <f t="shared" si="34"/>
        <v>3737500</v>
      </c>
      <c r="J560" s="8">
        <f t="shared" si="35"/>
        <v>934375</v>
      </c>
      <c r="K560" s="9">
        <v>45765</v>
      </c>
      <c r="L560" s="10">
        <f>Table1[[#This Row],[Profit]]/Table1[[#This Row],[Sales]]</f>
        <v>0.2</v>
      </c>
    </row>
    <row r="561" spans="1:12">
      <c r="A561" t="s">
        <v>11</v>
      </c>
      <c r="B561" t="s">
        <v>39</v>
      </c>
      <c r="C561" t="s">
        <v>79</v>
      </c>
      <c r="D561" t="s">
        <v>14</v>
      </c>
      <c r="E561" s="7">
        <v>750</v>
      </c>
      <c r="F561" s="8">
        <v>21000</v>
      </c>
      <c r="G561" s="8">
        <f t="shared" si="32"/>
        <v>26250</v>
      </c>
      <c r="H561" s="8">
        <f t="shared" si="33"/>
        <v>19687500</v>
      </c>
      <c r="I561" s="8">
        <f t="shared" si="34"/>
        <v>15750000</v>
      </c>
      <c r="J561" s="8">
        <f t="shared" si="35"/>
        <v>3937500</v>
      </c>
      <c r="K561" s="9">
        <v>45768</v>
      </c>
      <c r="L561" s="10">
        <f>Table1[[#This Row],[Profit]]/Table1[[#This Row],[Sales]]</f>
        <v>0.2</v>
      </c>
    </row>
    <row r="562" spans="1:12">
      <c r="A562" t="s">
        <v>11</v>
      </c>
      <c r="B562" t="s">
        <v>62</v>
      </c>
      <c r="C562" t="s">
        <v>27</v>
      </c>
      <c r="D562" t="s">
        <v>14</v>
      </c>
      <c r="E562" s="7">
        <v>673</v>
      </c>
      <c r="F562" s="8">
        <v>6100</v>
      </c>
      <c r="G562" s="8">
        <f t="shared" si="32"/>
        <v>7625</v>
      </c>
      <c r="H562" s="8">
        <f t="shared" si="33"/>
        <v>5131625</v>
      </c>
      <c r="I562" s="8">
        <f t="shared" si="34"/>
        <v>4105300</v>
      </c>
      <c r="J562" s="8">
        <f t="shared" si="35"/>
        <v>1026325</v>
      </c>
      <c r="K562" s="9">
        <v>45770</v>
      </c>
      <c r="L562" s="10">
        <f>Table1[[#This Row],[Profit]]/Table1[[#This Row],[Sales]]</f>
        <v>0.2</v>
      </c>
    </row>
    <row r="563" spans="1:12">
      <c r="A563" t="s">
        <v>11</v>
      </c>
      <c r="B563" t="s">
        <v>77</v>
      </c>
      <c r="C563" t="s">
        <v>21</v>
      </c>
      <c r="D563" t="s">
        <v>14</v>
      </c>
      <c r="E563" s="7">
        <v>2770</v>
      </c>
      <c r="F563" s="8">
        <v>21800</v>
      </c>
      <c r="G563" s="8">
        <f t="shared" si="32"/>
        <v>27250</v>
      </c>
      <c r="H563" s="8">
        <f t="shared" si="33"/>
        <v>75482500</v>
      </c>
      <c r="I563" s="8">
        <f t="shared" si="34"/>
        <v>60386000</v>
      </c>
      <c r="J563" s="8">
        <f t="shared" si="35"/>
        <v>15096500</v>
      </c>
      <c r="K563" s="9">
        <v>45771</v>
      </c>
      <c r="L563" s="10">
        <f>Table1[[#This Row],[Profit]]/Table1[[#This Row],[Sales]]</f>
        <v>0.2</v>
      </c>
    </row>
    <row r="564" spans="1:12">
      <c r="A564" t="s">
        <v>11</v>
      </c>
      <c r="B564" t="s">
        <v>20</v>
      </c>
      <c r="C564" t="s">
        <v>68</v>
      </c>
      <c r="D564" t="s">
        <v>14</v>
      </c>
      <c r="E564" s="7">
        <v>1562</v>
      </c>
      <c r="F564" s="8">
        <v>12100</v>
      </c>
      <c r="G564" s="8">
        <f t="shared" si="32"/>
        <v>15125</v>
      </c>
      <c r="H564" s="8">
        <f t="shared" si="33"/>
        <v>23625250</v>
      </c>
      <c r="I564" s="8">
        <f t="shared" si="34"/>
        <v>18900200</v>
      </c>
      <c r="J564" s="8">
        <f t="shared" si="35"/>
        <v>4725050</v>
      </c>
      <c r="K564" s="9">
        <v>45774</v>
      </c>
      <c r="L564" s="10">
        <f>Table1[[#This Row],[Profit]]/Table1[[#This Row],[Sales]]</f>
        <v>0.2</v>
      </c>
    </row>
    <row r="565" spans="1:12">
      <c r="A565" t="s">
        <v>11</v>
      </c>
      <c r="B565" t="s">
        <v>98</v>
      </c>
      <c r="C565" t="s">
        <v>34</v>
      </c>
      <c r="D565" t="s">
        <v>14</v>
      </c>
      <c r="E565" s="7">
        <v>2484</v>
      </c>
      <c r="F565" s="8">
        <v>13000</v>
      </c>
      <c r="G565" s="8">
        <f t="shared" si="32"/>
        <v>16250</v>
      </c>
      <c r="H565" s="8">
        <f t="shared" si="33"/>
        <v>40365000</v>
      </c>
      <c r="I565" s="8">
        <f t="shared" si="34"/>
        <v>32292000</v>
      </c>
      <c r="J565" s="8">
        <f t="shared" si="35"/>
        <v>8073000</v>
      </c>
      <c r="K565" s="9">
        <v>45774</v>
      </c>
      <c r="L565" s="10">
        <f>Table1[[#This Row],[Profit]]/Table1[[#This Row],[Sales]]</f>
        <v>0.2</v>
      </c>
    </row>
    <row r="566" spans="1:12">
      <c r="A566" t="s">
        <v>11</v>
      </c>
      <c r="B566" t="s">
        <v>88</v>
      </c>
      <c r="C566" t="s">
        <v>79</v>
      </c>
      <c r="D566" t="s">
        <v>14</v>
      </c>
      <c r="E566" s="7">
        <v>257</v>
      </c>
      <c r="F566" s="8">
        <v>16600</v>
      </c>
      <c r="G566" s="8">
        <f t="shared" si="32"/>
        <v>20750</v>
      </c>
      <c r="H566" s="8">
        <f t="shared" si="33"/>
        <v>5332750</v>
      </c>
      <c r="I566" s="8">
        <f t="shared" si="34"/>
        <v>4266200</v>
      </c>
      <c r="J566" s="8">
        <f t="shared" si="35"/>
        <v>1066550</v>
      </c>
      <c r="K566" s="9">
        <v>45777</v>
      </c>
      <c r="L566" s="10">
        <f>Table1[[#This Row],[Profit]]/Table1[[#This Row],[Sales]]</f>
        <v>0.2</v>
      </c>
    </row>
    <row r="567" spans="1:12">
      <c r="A567" t="s">
        <v>11</v>
      </c>
      <c r="B567" t="s">
        <v>51</v>
      </c>
      <c r="C567" t="s">
        <v>68</v>
      </c>
      <c r="D567" t="s">
        <v>14</v>
      </c>
      <c r="E567" s="7">
        <v>1395</v>
      </c>
      <c r="F567" s="8">
        <v>17000</v>
      </c>
      <c r="G567" s="8">
        <f t="shared" si="32"/>
        <v>21250</v>
      </c>
      <c r="H567" s="8">
        <f t="shared" si="33"/>
        <v>29643750</v>
      </c>
      <c r="I567" s="8">
        <f t="shared" si="34"/>
        <v>23715000</v>
      </c>
      <c r="J567" s="8">
        <f t="shared" si="35"/>
        <v>5928750</v>
      </c>
      <c r="K567" s="9">
        <v>45781</v>
      </c>
      <c r="L567" s="10">
        <f>Table1[[#This Row],[Profit]]/Table1[[#This Row],[Sales]]</f>
        <v>0.2</v>
      </c>
    </row>
    <row r="568" spans="1:12">
      <c r="A568" t="s">
        <v>11</v>
      </c>
      <c r="B568" t="s">
        <v>77</v>
      </c>
      <c r="C568" t="s">
        <v>21</v>
      </c>
      <c r="D568" t="s">
        <v>14</v>
      </c>
      <c r="E568" s="7">
        <v>2635</v>
      </c>
      <c r="F568" s="8">
        <v>16600</v>
      </c>
      <c r="G568" s="8">
        <f t="shared" si="32"/>
        <v>20750</v>
      </c>
      <c r="H568" s="8">
        <f t="shared" si="33"/>
        <v>54676250</v>
      </c>
      <c r="I568" s="8">
        <f t="shared" si="34"/>
        <v>43741000</v>
      </c>
      <c r="J568" s="8">
        <f t="shared" si="35"/>
        <v>10935250</v>
      </c>
      <c r="K568" s="9">
        <v>45784</v>
      </c>
      <c r="L568" s="10">
        <f>Table1[[#This Row],[Profit]]/Table1[[#This Row],[Sales]]</f>
        <v>0.2</v>
      </c>
    </row>
    <row r="569" spans="1:12">
      <c r="A569" t="s">
        <v>11</v>
      </c>
      <c r="B569" t="s">
        <v>26</v>
      </c>
      <c r="C569" t="s">
        <v>27</v>
      </c>
      <c r="D569" t="s">
        <v>14</v>
      </c>
      <c r="E569" s="7">
        <v>155</v>
      </c>
      <c r="F569" s="8">
        <v>3700</v>
      </c>
      <c r="G569" s="8">
        <f t="shared" si="32"/>
        <v>4625</v>
      </c>
      <c r="H569" s="8">
        <f t="shared" si="33"/>
        <v>716875</v>
      </c>
      <c r="I569" s="8">
        <f t="shared" si="34"/>
        <v>573500</v>
      </c>
      <c r="J569" s="8">
        <f t="shared" si="35"/>
        <v>143375</v>
      </c>
      <c r="K569" s="9">
        <v>45786</v>
      </c>
      <c r="L569" s="10">
        <f>Table1[[#This Row],[Profit]]/Table1[[#This Row],[Sales]]</f>
        <v>0.2</v>
      </c>
    </row>
    <row r="570" spans="1:12">
      <c r="A570" t="s">
        <v>11</v>
      </c>
      <c r="B570" t="s">
        <v>36</v>
      </c>
      <c r="C570" t="s">
        <v>63</v>
      </c>
      <c r="D570" t="s">
        <v>14</v>
      </c>
      <c r="E570" s="7">
        <v>1552</v>
      </c>
      <c r="F570" s="8">
        <v>14500</v>
      </c>
      <c r="G570" s="8">
        <f t="shared" si="32"/>
        <v>18125</v>
      </c>
      <c r="H570" s="8">
        <f t="shared" si="33"/>
        <v>28130000</v>
      </c>
      <c r="I570" s="8">
        <f t="shared" si="34"/>
        <v>22504000</v>
      </c>
      <c r="J570" s="8">
        <f t="shared" si="35"/>
        <v>5626000</v>
      </c>
      <c r="K570" s="9">
        <v>45786</v>
      </c>
      <c r="L570" s="10">
        <f>Table1[[#This Row],[Profit]]/Table1[[#This Row],[Sales]]</f>
        <v>0.2</v>
      </c>
    </row>
    <row r="571" spans="1:12">
      <c r="A571" t="s">
        <v>11</v>
      </c>
      <c r="B571" t="s">
        <v>36</v>
      </c>
      <c r="C571" t="s">
        <v>68</v>
      </c>
      <c r="D571" t="s">
        <v>14</v>
      </c>
      <c r="E571" s="7">
        <v>189</v>
      </c>
      <c r="F571" s="8">
        <v>15000</v>
      </c>
      <c r="G571" s="8">
        <f t="shared" si="32"/>
        <v>18750</v>
      </c>
      <c r="H571" s="8">
        <f t="shared" si="33"/>
        <v>3543750</v>
      </c>
      <c r="I571" s="8">
        <f t="shared" si="34"/>
        <v>2835000</v>
      </c>
      <c r="J571" s="8">
        <f t="shared" si="35"/>
        <v>708750</v>
      </c>
      <c r="K571" s="9">
        <v>45787</v>
      </c>
      <c r="L571" s="10">
        <f>Table1[[#This Row],[Profit]]/Table1[[#This Row],[Sales]]</f>
        <v>0.2</v>
      </c>
    </row>
    <row r="572" spans="1:12">
      <c r="A572" t="s">
        <v>11</v>
      </c>
      <c r="B572" t="s">
        <v>36</v>
      </c>
      <c r="C572" t="s">
        <v>68</v>
      </c>
      <c r="D572" t="s">
        <v>14</v>
      </c>
      <c r="E572" s="7">
        <v>1468</v>
      </c>
      <c r="F572" s="8">
        <v>11800</v>
      </c>
      <c r="G572" s="8">
        <f t="shared" si="32"/>
        <v>14750</v>
      </c>
      <c r="H572" s="8">
        <f t="shared" si="33"/>
        <v>21653000</v>
      </c>
      <c r="I572" s="8">
        <f t="shared" si="34"/>
        <v>17322400</v>
      </c>
      <c r="J572" s="8">
        <f t="shared" si="35"/>
        <v>4330600</v>
      </c>
      <c r="K572" s="9">
        <v>45794</v>
      </c>
      <c r="L572" s="10">
        <f>Table1[[#This Row],[Profit]]/Table1[[#This Row],[Sales]]</f>
        <v>0.2</v>
      </c>
    </row>
    <row r="573" spans="1:12">
      <c r="A573" t="s">
        <v>11</v>
      </c>
      <c r="B573" t="s">
        <v>20</v>
      </c>
      <c r="C573" t="s">
        <v>31</v>
      </c>
      <c r="D573" t="s">
        <v>14</v>
      </c>
      <c r="E573" s="7">
        <v>1085</v>
      </c>
      <c r="F573" s="8">
        <v>2900</v>
      </c>
      <c r="G573" s="8">
        <f t="shared" si="32"/>
        <v>3625</v>
      </c>
      <c r="H573" s="8">
        <f t="shared" si="33"/>
        <v>3933125</v>
      </c>
      <c r="I573" s="8">
        <f t="shared" si="34"/>
        <v>3146500</v>
      </c>
      <c r="J573" s="8">
        <f t="shared" si="35"/>
        <v>786625</v>
      </c>
      <c r="K573" s="9">
        <v>45794</v>
      </c>
      <c r="L573" s="10">
        <f>Table1[[#This Row],[Profit]]/Table1[[#This Row],[Sales]]</f>
        <v>0.2</v>
      </c>
    </row>
    <row r="574" spans="1:12">
      <c r="A574" t="s">
        <v>11</v>
      </c>
      <c r="B574" t="s">
        <v>98</v>
      </c>
      <c r="C574" t="s">
        <v>13</v>
      </c>
      <c r="D574" t="s">
        <v>14</v>
      </c>
      <c r="E574" s="7">
        <v>1651</v>
      </c>
      <c r="F574" s="8">
        <v>10100</v>
      </c>
      <c r="G574" s="8">
        <f t="shared" si="32"/>
        <v>12625</v>
      </c>
      <c r="H574" s="8">
        <f t="shared" si="33"/>
        <v>20843875</v>
      </c>
      <c r="I574" s="8">
        <f t="shared" si="34"/>
        <v>16675100</v>
      </c>
      <c r="J574" s="8">
        <f t="shared" si="35"/>
        <v>4168775</v>
      </c>
      <c r="K574" s="9">
        <v>45797</v>
      </c>
      <c r="L574" s="10">
        <f>Table1[[#This Row],[Profit]]/Table1[[#This Row],[Sales]]</f>
        <v>0.2</v>
      </c>
    </row>
    <row r="575" spans="1:12">
      <c r="A575" t="s">
        <v>11</v>
      </c>
      <c r="B575" t="s">
        <v>98</v>
      </c>
      <c r="C575" t="s">
        <v>21</v>
      </c>
      <c r="D575" t="s">
        <v>14</v>
      </c>
      <c r="E575" s="7">
        <v>2984</v>
      </c>
      <c r="F575" s="8">
        <v>20300</v>
      </c>
      <c r="G575" s="8">
        <f t="shared" si="32"/>
        <v>25375</v>
      </c>
      <c r="H575" s="8">
        <f t="shared" si="33"/>
        <v>75719000</v>
      </c>
      <c r="I575" s="8">
        <f t="shared" si="34"/>
        <v>60575200</v>
      </c>
      <c r="J575" s="8">
        <f t="shared" si="35"/>
        <v>15143800</v>
      </c>
      <c r="K575" s="9">
        <v>45797</v>
      </c>
      <c r="L575" s="10">
        <f>Table1[[#This Row],[Profit]]/Table1[[#This Row],[Sales]]</f>
        <v>0.2</v>
      </c>
    </row>
    <row r="576" spans="1:12">
      <c r="A576" t="s">
        <v>11</v>
      </c>
      <c r="B576" t="s">
        <v>20</v>
      </c>
      <c r="C576" t="s">
        <v>13</v>
      </c>
      <c r="D576" t="s">
        <v>14</v>
      </c>
      <c r="E576" s="7">
        <v>1517</v>
      </c>
      <c r="F576" s="8">
        <v>5700</v>
      </c>
      <c r="G576" s="8">
        <f t="shared" si="32"/>
        <v>7125</v>
      </c>
      <c r="H576" s="8">
        <f t="shared" si="33"/>
        <v>10808625</v>
      </c>
      <c r="I576" s="8">
        <f t="shared" si="34"/>
        <v>8646900</v>
      </c>
      <c r="J576" s="8">
        <f t="shared" si="35"/>
        <v>2161725</v>
      </c>
      <c r="K576" s="9">
        <v>45797</v>
      </c>
      <c r="L576" s="10">
        <f>Table1[[#This Row],[Profit]]/Table1[[#This Row],[Sales]]</f>
        <v>0.2</v>
      </c>
    </row>
    <row r="577" spans="1:12">
      <c r="A577" t="s">
        <v>11</v>
      </c>
      <c r="B577" t="s">
        <v>77</v>
      </c>
      <c r="C577" t="s">
        <v>17</v>
      </c>
      <c r="D577" t="s">
        <v>14</v>
      </c>
      <c r="E577" s="7">
        <v>2237</v>
      </c>
      <c r="F577" s="8">
        <v>9300</v>
      </c>
      <c r="G577" s="8">
        <f t="shared" si="32"/>
        <v>11625</v>
      </c>
      <c r="H577" s="8">
        <f t="shared" si="33"/>
        <v>26005125</v>
      </c>
      <c r="I577" s="8">
        <f t="shared" si="34"/>
        <v>20804100</v>
      </c>
      <c r="J577" s="8">
        <f t="shared" si="35"/>
        <v>5201025</v>
      </c>
      <c r="K577" s="9">
        <v>45799</v>
      </c>
      <c r="L577" s="10">
        <f>Table1[[#This Row],[Profit]]/Table1[[#This Row],[Sales]]</f>
        <v>0.2</v>
      </c>
    </row>
    <row r="578" spans="1:12">
      <c r="A578" t="s">
        <v>11</v>
      </c>
      <c r="B578" t="s">
        <v>26</v>
      </c>
      <c r="C578" t="s">
        <v>79</v>
      </c>
      <c r="D578" t="s">
        <v>14</v>
      </c>
      <c r="E578" s="7">
        <v>2151</v>
      </c>
      <c r="F578" s="8">
        <v>5200</v>
      </c>
      <c r="G578" s="8">
        <f t="shared" ref="G578:G641" si="36">ROUNDDOWN(F578/100,0)*100*1.25</f>
        <v>6500</v>
      </c>
      <c r="H578" s="8">
        <f t="shared" ref="H578:H641" si="37">E578*G578</f>
        <v>13981500</v>
      </c>
      <c r="I578" s="8">
        <f t="shared" ref="I578:I641" si="38">E578*F578</f>
        <v>11185200</v>
      </c>
      <c r="J578" s="8">
        <f t="shared" ref="J578:J641" si="39">H578-I578</f>
        <v>2796300</v>
      </c>
      <c r="K578" s="9">
        <v>45799</v>
      </c>
      <c r="L578" s="10">
        <f>Table1[[#This Row],[Profit]]/Table1[[#This Row],[Sales]]</f>
        <v>0.2</v>
      </c>
    </row>
    <row r="579" spans="1:12">
      <c r="A579" t="s">
        <v>11</v>
      </c>
      <c r="B579" t="s">
        <v>26</v>
      </c>
      <c r="C579" t="s">
        <v>27</v>
      </c>
      <c r="D579" t="s">
        <v>14</v>
      </c>
      <c r="E579" s="7">
        <v>1522</v>
      </c>
      <c r="F579" s="8">
        <v>6600</v>
      </c>
      <c r="G579" s="8">
        <f t="shared" si="36"/>
        <v>8250</v>
      </c>
      <c r="H579" s="8">
        <f t="shared" si="37"/>
        <v>12556500</v>
      </c>
      <c r="I579" s="8">
        <f t="shared" si="38"/>
        <v>10045200</v>
      </c>
      <c r="J579" s="8">
        <f t="shared" si="39"/>
        <v>2511300</v>
      </c>
      <c r="K579" s="9">
        <v>45799</v>
      </c>
      <c r="L579" s="10">
        <f>Table1[[#This Row],[Profit]]/Table1[[#This Row],[Sales]]</f>
        <v>0.2</v>
      </c>
    </row>
    <row r="580" spans="1:12">
      <c r="A580" t="s">
        <v>11</v>
      </c>
      <c r="B580" t="s">
        <v>77</v>
      </c>
      <c r="C580" t="s">
        <v>21</v>
      </c>
      <c r="D580" t="s">
        <v>14</v>
      </c>
      <c r="E580" s="7">
        <v>1654</v>
      </c>
      <c r="F580" s="8">
        <v>2900</v>
      </c>
      <c r="G580" s="8">
        <f t="shared" si="36"/>
        <v>3625</v>
      </c>
      <c r="H580" s="8">
        <f t="shared" si="37"/>
        <v>5995750</v>
      </c>
      <c r="I580" s="8">
        <f t="shared" si="38"/>
        <v>4796600</v>
      </c>
      <c r="J580" s="8">
        <f t="shared" si="39"/>
        <v>1199150</v>
      </c>
      <c r="K580" s="9">
        <v>45803</v>
      </c>
      <c r="L580" s="10">
        <f>Table1[[#This Row],[Profit]]/Table1[[#This Row],[Sales]]</f>
        <v>0.2</v>
      </c>
    </row>
    <row r="581" spans="1:12">
      <c r="A581" t="s">
        <v>11</v>
      </c>
      <c r="B581" t="s">
        <v>39</v>
      </c>
      <c r="C581" t="s">
        <v>21</v>
      </c>
      <c r="D581" t="s">
        <v>14</v>
      </c>
      <c r="E581" s="7">
        <v>489</v>
      </c>
      <c r="F581" s="8">
        <v>22500</v>
      </c>
      <c r="G581" s="8">
        <f t="shared" si="36"/>
        <v>28125</v>
      </c>
      <c r="H581" s="8">
        <f t="shared" si="37"/>
        <v>13753125</v>
      </c>
      <c r="I581" s="8">
        <f t="shared" si="38"/>
        <v>11002500</v>
      </c>
      <c r="J581" s="8">
        <f t="shared" si="39"/>
        <v>2750625</v>
      </c>
      <c r="K581" s="9">
        <v>45804</v>
      </c>
      <c r="L581" s="10">
        <f>Table1[[#This Row],[Profit]]/Table1[[#This Row],[Sales]]</f>
        <v>0.2</v>
      </c>
    </row>
    <row r="582" spans="1:12">
      <c r="A582" t="s">
        <v>11</v>
      </c>
      <c r="B582" t="s">
        <v>36</v>
      </c>
      <c r="C582" t="s">
        <v>68</v>
      </c>
      <c r="D582" t="s">
        <v>14</v>
      </c>
      <c r="E582" s="7">
        <v>920</v>
      </c>
      <c r="F582" s="8">
        <v>22800</v>
      </c>
      <c r="G582" s="8">
        <f t="shared" si="36"/>
        <v>28500</v>
      </c>
      <c r="H582" s="8">
        <f t="shared" si="37"/>
        <v>26220000</v>
      </c>
      <c r="I582" s="8">
        <f t="shared" si="38"/>
        <v>20976000</v>
      </c>
      <c r="J582" s="8">
        <f t="shared" si="39"/>
        <v>5244000</v>
      </c>
      <c r="K582" s="9">
        <v>45804</v>
      </c>
      <c r="L582" s="10">
        <f>Table1[[#This Row],[Profit]]/Table1[[#This Row],[Sales]]</f>
        <v>0.2</v>
      </c>
    </row>
    <row r="583" spans="1:12">
      <c r="A583" t="s">
        <v>11</v>
      </c>
      <c r="B583" t="s">
        <v>36</v>
      </c>
      <c r="C583" t="s">
        <v>17</v>
      </c>
      <c r="D583" t="s">
        <v>14</v>
      </c>
      <c r="E583" s="7">
        <v>718</v>
      </c>
      <c r="F583" s="8">
        <v>18500</v>
      </c>
      <c r="G583" s="8">
        <f t="shared" si="36"/>
        <v>23125</v>
      </c>
      <c r="H583" s="8">
        <f t="shared" si="37"/>
        <v>16603750</v>
      </c>
      <c r="I583" s="8">
        <f t="shared" si="38"/>
        <v>13283000</v>
      </c>
      <c r="J583" s="8">
        <f t="shared" si="39"/>
        <v>3320750</v>
      </c>
      <c r="K583" s="9">
        <v>45806</v>
      </c>
      <c r="L583" s="10">
        <f>Table1[[#This Row],[Profit]]/Table1[[#This Row],[Sales]]</f>
        <v>0.2</v>
      </c>
    </row>
    <row r="584" spans="1:12">
      <c r="A584" t="s">
        <v>11</v>
      </c>
      <c r="B584" t="s">
        <v>62</v>
      </c>
      <c r="C584" t="s">
        <v>21</v>
      </c>
      <c r="D584" t="s">
        <v>14</v>
      </c>
      <c r="E584" s="7">
        <v>2048</v>
      </c>
      <c r="F584" s="8">
        <v>18000</v>
      </c>
      <c r="G584" s="8">
        <f t="shared" si="36"/>
        <v>22500</v>
      </c>
      <c r="H584" s="8">
        <f t="shared" si="37"/>
        <v>46080000</v>
      </c>
      <c r="I584" s="8">
        <f t="shared" si="38"/>
        <v>36864000</v>
      </c>
      <c r="J584" s="8">
        <f t="shared" si="39"/>
        <v>9216000</v>
      </c>
      <c r="K584" s="9">
        <v>45807</v>
      </c>
      <c r="L584" s="10">
        <f>Table1[[#This Row],[Profit]]/Table1[[#This Row],[Sales]]</f>
        <v>0.2</v>
      </c>
    </row>
    <row r="585" spans="1:12">
      <c r="A585" t="s">
        <v>11</v>
      </c>
      <c r="B585" t="s">
        <v>88</v>
      </c>
      <c r="C585" t="s">
        <v>34</v>
      </c>
      <c r="D585" t="s">
        <v>14</v>
      </c>
      <c r="E585" s="7">
        <v>2046</v>
      </c>
      <c r="F585" s="8">
        <v>12600</v>
      </c>
      <c r="G585" s="8">
        <f t="shared" si="36"/>
        <v>15750</v>
      </c>
      <c r="H585" s="8">
        <f t="shared" si="37"/>
        <v>32224500</v>
      </c>
      <c r="I585" s="8">
        <f t="shared" si="38"/>
        <v>25779600</v>
      </c>
      <c r="J585" s="8">
        <f t="shared" si="39"/>
        <v>6444900</v>
      </c>
      <c r="K585" s="9">
        <v>45807</v>
      </c>
      <c r="L585" s="10">
        <f>Table1[[#This Row],[Profit]]/Table1[[#This Row],[Sales]]</f>
        <v>0.2</v>
      </c>
    </row>
    <row r="586" spans="1:12">
      <c r="A586" t="s">
        <v>11</v>
      </c>
      <c r="B586" t="s">
        <v>88</v>
      </c>
      <c r="C586" t="s">
        <v>63</v>
      </c>
      <c r="D586" t="s">
        <v>14</v>
      </c>
      <c r="E586" s="7">
        <v>112</v>
      </c>
      <c r="F586" s="8">
        <v>8100</v>
      </c>
      <c r="G586" s="8">
        <f t="shared" si="36"/>
        <v>10125</v>
      </c>
      <c r="H586" s="8">
        <f t="shared" si="37"/>
        <v>1134000</v>
      </c>
      <c r="I586" s="8">
        <f t="shared" si="38"/>
        <v>907200</v>
      </c>
      <c r="J586" s="8">
        <f t="shared" si="39"/>
        <v>226800</v>
      </c>
      <c r="K586" s="9">
        <v>45808</v>
      </c>
      <c r="L586" s="10">
        <f>Table1[[#This Row],[Profit]]/Table1[[#This Row],[Sales]]</f>
        <v>0.2</v>
      </c>
    </row>
    <row r="587" spans="1:12">
      <c r="A587" t="s">
        <v>11</v>
      </c>
      <c r="B587" t="s">
        <v>51</v>
      </c>
      <c r="C587" t="s">
        <v>34</v>
      </c>
      <c r="D587" t="s">
        <v>14</v>
      </c>
      <c r="E587" s="7">
        <v>2353</v>
      </c>
      <c r="F587" s="8">
        <v>2800</v>
      </c>
      <c r="G587" s="8">
        <f t="shared" si="36"/>
        <v>3500</v>
      </c>
      <c r="H587" s="8">
        <f t="shared" si="37"/>
        <v>8235500</v>
      </c>
      <c r="I587" s="8">
        <f t="shared" si="38"/>
        <v>6588400</v>
      </c>
      <c r="J587" s="8">
        <f t="shared" si="39"/>
        <v>1647100</v>
      </c>
      <c r="K587" s="9">
        <v>45810</v>
      </c>
      <c r="L587" s="10">
        <f>Table1[[#This Row],[Profit]]/Table1[[#This Row],[Sales]]</f>
        <v>0.2</v>
      </c>
    </row>
    <row r="588" spans="1:12">
      <c r="A588" t="s">
        <v>11</v>
      </c>
      <c r="B588" t="s">
        <v>36</v>
      </c>
      <c r="C588" t="s">
        <v>34</v>
      </c>
      <c r="D588" t="s">
        <v>14</v>
      </c>
      <c r="E588" s="7">
        <v>1550</v>
      </c>
      <c r="F588" s="8">
        <v>10900</v>
      </c>
      <c r="G588" s="8">
        <f t="shared" si="36"/>
        <v>13625</v>
      </c>
      <c r="H588" s="8">
        <f t="shared" si="37"/>
        <v>21118750</v>
      </c>
      <c r="I588" s="8">
        <f t="shared" si="38"/>
        <v>16895000</v>
      </c>
      <c r="J588" s="8">
        <f t="shared" si="39"/>
        <v>4223750</v>
      </c>
      <c r="K588" s="9">
        <v>45814</v>
      </c>
      <c r="L588" s="10">
        <f>Table1[[#This Row],[Profit]]/Table1[[#This Row],[Sales]]</f>
        <v>0.2</v>
      </c>
    </row>
    <row r="589" spans="1:12">
      <c r="A589" t="s">
        <v>11</v>
      </c>
      <c r="B589" t="s">
        <v>51</v>
      </c>
      <c r="C589" t="s">
        <v>17</v>
      </c>
      <c r="D589" t="s">
        <v>14</v>
      </c>
      <c r="E589" s="7">
        <v>1069</v>
      </c>
      <c r="F589" s="8">
        <v>4900</v>
      </c>
      <c r="G589" s="8">
        <f t="shared" si="36"/>
        <v>6125</v>
      </c>
      <c r="H589" s="8">
        <f t="shared" si="37"/>
        <v>6547625</v>
      </c>
      <c r="I589" s="8">
        <f t="shared" si="38"/>
        <v>5238100</v>
      </c>
      <c r="J589" s="8">
        <f t="shared" si="39"/>
        <v>1309525</v>
      </c>
      <c r="K589" s="9">
        <v>45815</v>
      </c>
      <c r="L589" s="10">
        <f>Table1[[#This Row],[Profit]]/Table1[[#This Row],[Sales]]</f>
        <v>0.2</v>
      </c>
    </row>
    <row r="590" spans="1:12">
      <c r="A590" t="s">
        <v>11</v>
      </c>
      <c r="B590" t="s">
        <v>77</v>
      </c>
      <c r="C590" t="s">
        <v>13</v>
      </c>
      <c r="D590" t="s">
        <v>14</v>
      </c>
      <c r="E590" s="7">
        <v>1385</v>
      </c>
      <c r="F590" s="8">
        <v>20800</v>
      </c>
      <c r="G590" s="8">
        <f t="shared" si="36"/>
        <v>26000</v>
      </c>
      <c r="H590" s="8">
        <f t="shared" si="37"/>
        <v>36010000</v>
      </c>
      <c r="I590" s="8">
        <f t="shared" si="38"/>
        <v>28808000</v>
      </c>
      <c r="J590" s="8">
        <f t="shared" si="39"/>
        <v>7202000</v>
      </c>
      <c r="K590" s="9">
        <v>45818</v>
      </c>
      <c r="L590" s="10">
        <f>Table1[[#This Row],[Profit]]/Table1[[#This Row],[Sales]]</f>
        <v>0.2</v>
      </c>
    </row>
    <row r="591" spans="1:12">
      <c r="A591" t="s">
        <v>11</v>
      </c>
      <c r="B591" t="s">
        <v>20</v>
      </c>
      <c r="C591" t="s">
        <v>63</v>
      </c>
      <c r="D591" t="s">
        <v>14</v>
      </c>
      <c r="E591" s="7">
        <v>1550</v>
      </c>
      <c r="F591" s="8">
        <v>3600</v>
      </c>
      <c r="G591" s="8">
        <f t="shared" si="36"/>
        <v>4500</v>
      </c>
      <c r="H591" s="8">
        <f t="shared" si="37"/>
        <v>6975000</v>
      </c>
      <c r="I591" s="8">
        <f t="shared" si="38"/>
        <v>5580000</v>
      </c>
      <c r="J591" s="8">
        <f t="shared" si="39"/>
        <v>1395000</v>
      </c>
      <c r="K591" s="9">
        <v>45820</v>
      </c>
      <c r="L591" s="10">
        <f>Table1[[#This Row],[Profit]]/Table1[[#This Row],[Sales]]</f>
        <v>0.2</v>
      </c>
    </row>
    <row r="592" spans="1:12">
      <c r="A592" t="s">
        <v>11</v>
      </c>
      <c r="B592" t="s">
        <v>77</v>
      </c>
      <c r="C592" t="s">
        <v>68</v>
      </c>
      <c r="D592" t="s">
        <v>14</v>
      </c>
      <c r="E592" s="7">
        <v>2926</v>
      </c>
      <c r="F592" s="8">
        <v>22300</v>
      </c>
      <c r="G592" s="8">
        <f t="shared" si="36"/>
        <v>27875</v>
      </c>
      <c r="H592" s="8">
        <f t="shared" si="37"/>
        <v>81562250</v>
      </c>
      <c r="I592" s="8">
        <f t="shared" si="38"/>
        <v>65249800</v>
      </c>
      <c r="J592" s="8">
        <f t="shared" si="39"/>
        <v>16312450</v>
      </c>
      <c r="K592" s="9">
        <v>45821</v>
      </c>
      <c r="L592" s="10">
        <f>Table1[[#This Row],[Profit]]/Table1[[#This Row],[Sales]]</f>
        <v>0.2</v>
      </c>
    </row>
    <row r="593" spans="1:12">
      <c r="A593" t="s">
        <v>11</v>
      </c>
      <c r="B593" t="s">
        <v>26</v>
      </c>
      <c r="C593" t="s">
        <v>21</v>
      </c>
      <c r="D593" t="s">
        <v>14</v>
      </c>
      <c r="E593" s="7">
        <v>2348</v>
      </c>
      <c r="F593" s="8">
        <v>13200</v>
      </c>
      <c r="G593" s="8">
        <f t="shared" si="36"/>
        <v>16500</v>
      </c>
      <c r="H593" s="8">
        <f t="shared" si="37"/>
        <v>38742000</v>
      </c>
      <c r="I593" s="8">
        <f t="shared" si="38"/>
        <v>30993600</v>
      </c>
      <c r="J593" s="8">
        <f t="shared" si="39"/>
        <v>7748400</v>
      </c>
      <c r="K593" s="9">
        <v>45821</v>
      </c>
      <c r="L593" s="10">
        <f>Table1[[#This Row],[Profit]]/Table1[[#This Row],[Sales]]</f>
        <v>0.2</v>
      </c>
    </row>
    <row r="594" spans="1:12">
      <c r="A594" t="s">
        <v>11</v>
      </c>
      <c r="B594" t="s">
        <v>51</v>
      </c>
      <c r="C594" t="s">
        <v>27</v>
      </c>
      <c r="D594" t="s">
        <v>14</v>
      </c>
      <c r="E594" s="7">
        <v>1571</v>
      </c>
      <c r="F594" s="8">
        <v>24400</v>
      </c>
      <c r="G594" s="8">
        <f t="shared" si="36"/>
        <v>30500</v>
      </c>
      <c r="H594" s="8">
        <f t="shared" si="37"/>
        <v>47915500</v>
      </c>
      <c r="I594" s="8">
        <f t="shared" si="38"/>
        <v>38332400</v>
      </c>
      <c r="J594" s="8">
        <f t="shared" si="39"/>
        <v>9583100</v>
      </c>
      <c r="K594" s="9">
        <v>45822</v>
      </c>
      <c r="L594" s="10">
        <f>Table1[[#This Row],[Profit]]/Table1[[#This Row],[Sales]]</f>
        <v>0.2</v>
      </c>
    </row>
    <row r="595" spans="1:12">
      <c r="A595" t="s">
        <v>11</v>
      </c>
      <c r="B595" t="s">
        <v>36</v>
      </c>
      <c r="C595" t="s">
        <v>31</v>
      </c>
      <c r="D595" t="s">
        <v>14</v>
      </c>
      <c r="E595" s="7">
        <v>1018</v>
      </c>
      <c r="F595" s="8">
        <v>10400</v>
      </c>
      <c r="G595" s="8">
        <f t="shared" si="36"/>
        <v>13000</v>
      </c>
      <c r="H595" s="8">
        <f t="shared" si="37"/>
        <v>13234000</v>
      </c>
      <c r="I595" s="8">
        <f t="shared" si="38"/>
        <v>10587200</v>
      </c>
      <c r="J595" s="8">
        <f t="shared" si="39"/>
        <v>2646800</v>
      </c>
      <c r="K595" s="9">
        <v>45825</v>
      </c>
      <c r="L595" s="10">
        <f>Table1[[#This Row],[Profit]]/Table1[[#This Row],[Sales]]</f>
        <v>0.2</v>
      </c>
    </row>
    <row r="596" spans="1:12">
      <c r="A596" t="s">
        <v>11</v>
      </c>
      <c r="B596" t="s">
        <v>77</v>
      </c>
      <c r="C596" t="s">
        <v>34</v>
      </c>
      <c r="D596" t="s">
        <v>14</v>
      </c>
      <c r="E596" s="7">
        <v>1987</v>
      </c>
      <c r="F596" s="8">
        <v>7200</v>
      </c>
      <c r="G596" s="8">
        <f t="shared" si="36"/>
        <v>9000</v>
      </c>
      <c r="H596" s="8">
        <f t="shared" si="37"/>
        <v>17883000</v>
      </c>
      <c r="I596" s="8">
        <f t="shared" si="38"/>
        <v>14306400</v>
      </c>
      <c r="J596" s="8">
        <f t="shared" si="39"/>
        <v>3576600</v>
      </c>
      <c r="K596" s="9">
        <v>45827</v>
      </c>
      <c r="L596" s="10">
        <f>Table1[[#This Row],[Profit]]/Table1[[#This Row],[Sales]]</f>
        <v>0.2</v>
      </c>
    </row>
    <row r="597" spans="1:12">
      <c r="A597" t="s">
        <v>11</v>
      </c>
      <c r="B597" t="s">
        <v>98</v>
      </c>
      <c r="C597" t="s">
        <v>68</v>
      </c>
      <c r="D597" t="s">
        <v>14</v>
      </c>
      <c r="E597" s="7">
        <v>1584</v>
      </c>
      <c r="F597" s="8">
        <v>21800</v>
      </c>
      <c r="G597" s="8">
        <f t="shared" si="36"/>
        <v>27250</v>
      </c>
      <c r="H597" s="8">
        <f t="shared" si="37"/>
        <v>43164000</v>
      </c>
      <c r="I597" s="8">
        <f t="shared" si="38"/>
        <v>34531200</v>
      </c>
      <c r="J597" s="8">
        <f t="shared" si="39"/>
        <v>8632800</v>
      </c>
      <c r="K597" s="9">
        <v>45828</v>
      </c>
      <c r="L597" s="10">
        <f>Table1[[#This Row],[Profit]]/Table1[[#This Row],[Sales]]</f>
        <v>0.2</v>
      </c>
    </row>
    <row r="598" spans="1:12">
      <c r="A598" t="s">
        <v>11</v>
      </c>
      <c r="B598" t="s">
        <v>36</v>
      </c>
      <c r="C598" t="s">
        <v>68</v>
      </c>
      <c r="D598" t="s">
        <v>14</v>
      </c>
      <c r="E598" s="7">
        <v>2819</v>
      </c>
      <c r="F598" s="8">
        <v>11100</v>
      </c>
      <c r="G598" s="8">
        <f t="shared" si="36"/>
        <v>13875</v>
      </c>
      <c r="H598" s="8">
        <f t="shared" si="37"/>
        <v>39113625</v>
      </c>
      <c r="I598" s="8">
        <f t="shared" si="38"/>
        <v>31290900</v>
      </c>
      <c r="J598" s="8">
        <f t="shared" si="39"/>
        <v>7822725</v>
      </c>
      <c r="K598" s="9">
        <v>45829</v>
      </c>
      <c r="L598" s="10">
        <f>Table1[[#This Row],[Profit]]/Table1[[#This Row],[Sales]]</f>
        <v>0.2</v>
      </c>
    </row>
    <row r="599" spans="1:12">
      <c r="A599" t="s">
        <v>11</v>
      </c>
      <c r="B599" t="s">
        <v>20</v>
      </c>
      <c r="C599" t="s">
        <v>37</v>
      </c>
      <c r="D599" t="s">
        <v>14</v>
      </c>
      <c r="E599" s="7">
        <v>859</v>
      </c>
      <c r="F599" s="8">
        <v>17500</v>
      </c>
      <c r="G599" s="8">
        <f t="shared" si="36"/>
        <v>21875</v>
      </c>
      <c r="H599" s="8">
        <f t="shared" si="37"/>
        <v>18790625</v>
      </c>
      <c r="I599" s="8">
        <f t="shared" si="38"/>
        <v>15032500</v>
      </c>
      <c r="J599" s="8">
        <f t="shared" si="39"/>
        <v>3758125</v>
      </c>
      <c r="K599" s="9">
        <v>45832</v>
      </c>
      <c r="L599" s="10">
        <f>Table1[[#This Row],[Profit]]/Table1[[#This Row],[Sales]]</f>
        <v>0.2</v>
      </c>
    </row>
    <row r="600" spans="1:12">
      <c r="A600" t="s">
        <v>11</v>
      </c>
      <c r="B600" t="s">
        <v>98</v>
      </c>
      <c r="C600" t="s">
        <v>21</v>
      </c>
      <c r="D600" t="s">
        <v>14</v>
      </c>
      <c r="E600" s="7">
        <v>824</v>
      </c>
      <c r="F600" s="8">
        <v>16300</v>
      </c>
      <c r="G600" s="8">
        <f t="shared" si="36"/>
        <v>20375</v>
      </c>
      <c r="H600" s="8">
        <f t="shared" si="37"/>
        <v>16789000</v>
      </c>
      <c r="I600" s="8">
        <f t="shared" si="38"/>
        <v>13431200</v>
      </c>
      <c r="J600" s="8">
        <f t="shared" si="39"/>
        <v>3357800</v>
      </c>
      <c r="K600" s="9">
        <v>45833</v>
      </c>
      <c r="L600" s="10">
        <f>Table1[[#This Row],[Profit]]/Table1[[#This Row],[Sales]]</f>
        <v>0.2</v>
      </c>
    </row>
    <row r="601" spans="1:12">
      <c r="A601" t="s">
        <v>11</v>
      </c>
      <c r="B601" t="s">
        <v>39</v>
      </c>
      <c r="C601" t="s">
        <v>34</v>
      </c>
      <c r="D601" t="s">
        <v>14</v>
      </c>
      <c r="E601" s="7">
        <v>2411</v>
      </c>
      <c r="F601" s="8">
        <v>6800</v>
      </c>
      <c r="G601" s="8">
        <f t="shared" si="36"/>
        <v>8500</v>
      </c>
      <c r="H601" s="8">
        <f t="shared" si="37"/>
        <v>20493500</v>
      </c>
      <c r="I601" s="8">
        <f t="shared" si="38"/>
        <v>16394800</v>
      </c>
      <c r="J601" s="8">
        <f t="shared" si="39"/>
        <v>4098700</v>
      </c>
      <c r="K601" s="9">
        <v>45834</v>
      </c>
      <c r="L601" s="10">
        <f>Table1[[#This Row],[Profit]]/Table1[[#This Row],[Sales]]</f>
        <v>0.2</v>
      </c>
    </row>
    <row r="602" spans="1:12">
      <c r="A602" t="s">
        <v>11</v>
      </c>
      <c r="B602" t="s">
        <v>62</v>
      </c>
      <c r="C602" t="s">
        <v>31</v>
      </c>
      <c r="D602" t="s">
        <v>14</v>
      </c>
      <c r="E602" s="7">
        <v>334</v>
      </c>
      <c r="F602" s="8">
        <v>19600</v>
      </c>
      <c r="G602" s="8">
        <f t="shared" si="36"/>
        <v>24500</v>
      </c>
      <c r="H602" s="8">
        <f t="shared" si="37"/>
        <v>8183000</v>
      </c>
      <c r="I602" s="8">
        <f t="shared" si="38"/>
        <v>6546400</v>
      </c>
      <c r="J602" s="8">
        <f t="shared" si="39"/>
        <v>1636600</v>
      </c>
      <c r="K602" s="9">
        <v>45835</v>
      </c>
      <c r="L602" s="10">
        <f>Table1[[#This Row],[Profit]]/Table1[[#This Row],[Sales]]</f>
        <v>0.2</v>
      </c>
    </row>
    <row r="603" spans="1:12">
      <c r="A603" t="s">
        <v>11</v>
      </c>
      <c r="B603" t="s">
        <v>20</v>
      </c>
      <c r="C603" t="s">
        <v>21</v>
      </c>
      <c r="D603" t="s">
        <v>14</v>
      </c>
      <c r="E603" s="7">
        <v>2710</v>
      </c>
      <c r="F603" s="8">
        <v>12900</v>
      </c>
      <c r="G603" s="8">
        <f t="shared" si="36"/>
        <v>16125</v>
      </c>
      <c r="H603" s="8">
        <f t="shared" si="37"/>
        <v>43698750</v>
      </c>
      <c r="I603" s="8">
        <f t="shared" si="38"/>
        <v>34959000</v>
      </c>
      <c r="J603" s="8">
        <f t="shared" si="39"/>
        <v>8739750</v>
      </c>
      <c r="K603" s="9">
        <v>45835</v>
      </c>
      <c r="L603" s="10">
        <f>Table1[[#This Row],[Profit]]/Table1[[#This Row],[Sales]]</f>
        <v>0.2</v>
      </c>
    </row>
    <row r="604" spans="1:12">
      <c r="A604" t="s">
        <v>11</v>
      </c>
      <c r="B604" t="s">
        <v>62</v>
      </c>
      <c r="C604" t="s">
        <v>68</v>
      </c>
      <c r="D604" t="s">
        <v>14</v>
      </c>
      <c r="E604" s="7">
        <v>2525</v>
      </c>
      <c r="F604" s="8">
        <v>19100</v>
      </c>
      <c r="G604" s="8">
        <f t="shared" si="36"/>
        <v>23875</v>
      </c>
      <c r="H604" s="8">
        <f t="shared" si="37"/>
        <v>60284375</v>
      </c>
      <c r="I604" s="8">
        <f t="shared" si="38"/>
        <v>48227500</v>
      </c>
      <c r="J604" s="8">
        <f t="shared" si="39"/>
        <v>12056875</v>
      </c>
      <c r="K604" s="9">
        <v>45836</v>
      </c>
      <c r="L604" s="10">
        <f>Table1[[#This Row],[Profit]]/Table1[[#This Row],[Sales]]</f>
        <v>0.2</v>
      </c>
    </row>
    <row r="605" spans="1:12">
      <c r="A605" t="s">
        <v>11</v>
      </c>
      <c r="B605" t="s">
        <v>98</v>
      </c>
      <c r="C605" t="s">
        <v>79</v>
      </c>
      <c r="D605" t="s">
        <v>14</v>
      </c>
      <c r="E605" s="7">
        <v>1660</v>
      </c>
      <c r="F605" s="8">
        <v>16200</v>
      </c>
      <c r="G605" s="8">
        <f t="shared" si="36"/>
        <v>20250</v>
      </c>
      <c r="H605" s="8">
        <f t="shared" si="37"/>
        <v>33615000</v>
      </c>
      <c r="I605" s="8">
        <f t="shared" si="38"/>
        <v>26892000</v>
      </c>
      <c r="J605" s="8">
        <f t="shared" si="39"/>
        <v>6723000</v>
      </c>
      <c r="K605" s="9">
        <v>45837</v>
      </c>
      <c r="L605" s="10">
        <f>Table1[[#This Row],[Profit]]/Table1[[#This Row],[Sales]]</f>
        <v>0.2</v>
      </c>
    </row>
    <row r="606" spans="1:12">
      <c r="A606" t="s">
        <v>11</v>
      </c>
      <c r="B606" t="s">
        <v>88</v>
      </c>
      <c r="C606" t="s">
        <v>37</v>
      </c>
      <c r="D606" t="s">
        <v>14</v>
      </c>
      <c r="E606" s="7">
        <v>800</v>
      </c>
      <c r="F606" s="8">
        <v>21600</v>
      </c>
      <c r="G606" s="8">
        <f t="shared" si="36"/>
        <v>27000</v>
      </c>
      <c r="H606" s="8">
        <f t="shared" si="37"/>
        <v>21600000</v>
      </c>
      <c r="I606" s="8">
        <f t="shared" si="38"/>
        <v>17280000</v>
      </c>
      <c r="J606" s="8">
        <f t="shared" si="39"/>
        <v>4320000</v>
      </c>
      <c r="K606" s="9">
        <v>45837</v>
      </c>
      <c r="L606" s="10">
        <f>Table1[[#This Row],[Profit]]/Table1[[#This Row],[Sales]]</f>
        <v>0.2</v>
      </c>
    </row>
    <row r="607" spans="1:12">
      <c r="A607" t="s">
        <v>11</v>
      </c>
      <c r="B607" t="s">
        <v>51</v>
      </c>
      <c r="C607" t="s">
        <v>79</v>
      </c>
      <c r="D607" t="s">
        <v>14</v>
      </c>
      <c r="E607" s="7">
        <v>2366</v>
      </c>
      <c r="F607" s="8">
        <v>12900</v>
      </c>
      <c r="G607" s="8">
        <f t="shared" si="36"/>
        <v>16125</v>
      </c>
      <c r="H607" s="8">
        <f t="shared" si="37"/>
        <v>38151750</v>
      </c>
      <c r="I607" s="8">
        <f t="shared" si="38"/>
        <v>30521400</v>
      </c>
      <c r="J607" s="8">
        <f t="shared" si="39"/>
        <v>7630350</v>
      </c>
      <c r="K607" s="9">
        <v>45838</v>
      </c>
      <c r="L607" s="10">
        <f>Table1[[#This Row],[Profit]]/Table1[[#This Row],[Sales]]</f>
        <v>0.2</v>
      </c>
    </row>
    <row r="608" spans="1:12">
      <c r="A608" t="s">
        <v>11</v>
      </c>
      <c r="B608" t="s">
        <v>51</v>
      </c>
      <c r="C608" t="s">
        <v>27</v>
      </c>
      <c r="D608" t="s">
        <v>14</v>
      </c>
      <c r="E608" s="7">
        <v>1272</v>
      </c>
      <c r="F608" s="8">
        <v>9300</v>
      </c>
      <c r="G608" s="8">
        <f t="shared" si="36"/>
        <v>11625</v>
      </c>
      <c r="H608" s="8">
        <f t="shared" si="37"/>
        <v>14787000</v>
      </c>
      <c r="I608" s="8">
        <f t="shared" si="38"/>
        <v>11829600</v>
      </c>
      <c r="J608" s="8">
        <f t="shared" si="39"/>
        <v>2957400</v>
      </c>
      <c r="K608" s="9">
        <v>45839</v>
      </c>
      <c r="L608" s="10">
        <f>Table1[[#This Row],[Profit]]/Table1[[#This Row],[Sales]]</f>
        <v>0.2</v>
      </c>
    </row>
    <row r="609" spans="1:12">
      <c r="A609" t="s">
        <v>11</v>
      </c>
      <c r="B609" t="s">
        <v>97</v>
      </c>
      <c r="C609" t="s">
        <v>79</v>
      </c>
      <c r="D609" t="s">
        <v>14</v>
      </c>
      <c r="E609" s="7">
        <v>217</v>
      </c>
      <c r="F609" s="8">
        <v>2600</v>
      </c>
      <c r="G609" s="8">
        <f t="shared" si="36"/>
        <v>3250</v>
      </c>
      <c r="H609" s="8">
        <f t="shared" si="37"/>
        <v>705250</v>
      </c>
      <c r="I609" s="8">
        <f t="shared" si="38"/>
        <v>564200</v>
      </c>
      <c r="J609" s="8">
        <f t="shared" si="39"/>
        <v>141050</v>
      </c>
      <c r="K609" s="9">
        <v>45839</v>
      </c>
      <c r="L609" s="10">
        <f>Table1[[#This Row],[Profit]]/Table1[[#This Row],[Sales]]</f>
        <v>0.2</v>
      </c>
    </row>
    <row r="610" spans="1:12">
      <c r="A610" t="s">
        <v>11</v>
      </c>
      <c r="B610" t="s">
        <v>77</v>
      </c>
      <c r="C610" t="s">
        <v>79</v>
      </c>
      <c r="D610" t="s">
        <v>14</v>
      </c>
      <c r="E610" s="7">
        <v>2416</v>
      </c>
      <c r="F610" s="8">
        <v>13600</v>
      </c>
      <c r="G610" s="8">
        <f t="shared" si="36"/>
        <v>17000</v>
      </c>
      <c r="H610" s="8">
        <f t="shared" si="37"/>
        <v>41072000</v>
      </c>
      <c r="I610" s="8">
        <f t="shared" si="38"/>
        <v>32857600</v>
      </c>
      <c r="J610" s="8">
        <f t="shared" si="39"/>
        <v>8214400</v>
      </c>
      <c r="K610" s="9">
        <v>45840</v>
      </c>
      <c r="L610" s="10">
        <f>Table1[[#This Row],[Profit]]/Table1[[#This Row],[Sales]]</f>
        <v>0.2</v>
      </c>
    </row>
    <row r="611" spans="1:12">
      <c r="A611" t="s">
        <v>11</v>
      </c>
      <c r="B611" t="s">
        <v>26</v>
      </c>
      <c r="C611" t="s">
        <v>13</v>
      </c>
      <c r="D611" t="s">
        <v>14</v>
      </c>
      <c r="E611" s="7">
        <v>1126</v>
      </c>
      <c r="F611" s="8">
        <v>22900</v>
      </c>
      <c r="G611" s="8">
        <f t="shared" si="36"/>
        <v>28625</v>
      </c>
      <c r="H611" s="8">
        <f t="shared" si="37"/>
        <v>32231750</v>
      </c>
      <c r="I611" s="8">
        <f t="shared" si="38"/>
        <v>25785400</v>
      </c>
      <c r="J611" s="8">
        <f t="shared" si="39"/>
        <v>6446350</v>
      </c>
      <c r="K611" s="9">
        <v>45841</v>
      </c>
      <c r="L611" s="10">
        <f>Table1[[#This Row],[Profit]]/Table1[[#This Row],[Sales]]</f>
        <v>0.2</v>
      </c>
    </row>
    <row r="612" spans="1:12">
      <c r="A612" t="s">
        <v>11</v>
      </c>
      <c r="B612" t="s">
        <v>98</v>
      </c>
      <c r="C612" t="s">
        <v>63</v>
      </c>
      <c r="D612" t="s">
        <v>14</v>
      </c>
      <c r="E612" s="7">
        <v>2458</v>
      </c>
      <c r="F612" s="8">
        <v>19800</v>
      </c>
      <c r="G612" s="8">
        <f t="shared" si="36"/>
        <v>24750</v>
      </c>
      <c r="H612" s="8">
        <f t="shared" si="37"/>
        <v>60835500</v>
      </c>
      <c r="I612" s="8">
        <f t="shared" si="38"/>
        <v>48668400</v>
      </c>
      <c r="J612" s="8">
        <f t="shared" si="39"/>
        <v>12167100</v>
      </c>
      <c r="K612" s="9">
        <v>45842</v>
      </c>
      <c r="L612" s="10">
        <f>Table1[[#This Row],[Profit]]/Table1[[#This Row],[Sales]]</f>
        <v>0.2</v>
      </c>
    </row>
    <row r="613" spans="1:12">
      <c r="A613" t="s">
        <v>11</v>
      </c>
      <c r="B613" t="s">
        <v>97</v>
      </c>
      <c r="C613" t="s">
        <v>31</v>
      </c>
      <c r="D613" t="s">
        <v>14</v>
      </c>
      <c r="E613" s="7">
        <v>2366</v>
      </c>
      <c r="F613" s="8">
        <v>15700</v>
      </c>
      <c r="G613" s="8">
        <f t="shared" si="36"/>
        <v>19625</v>
      </c>
      <c r="H613" s="8">
        <f t="shared" si="37"/>
        <v>46432750</v>
      </c>
      <c r="I613" s="8">
        <f t="shared" si="38"/>
        <v>37146200</v>
      </c>
      <c r="J613" s="8">
        <f t="shared" si="39"/>
        <v>9286550</v>
      </c>
      <c r="K613" s="9">
        <v>45842</v>
      </c>
      <c r="L613" s="10">
        <f>Table1[[#This Row],[Profit]]/Table1[[#This Row],[Sales]]</f>
        <v>0.2</v>
      </c>
    </row>
    <row r="614" spans="1:12">
      <c r="A614" t="s">
        <v>11</v>
      </c>
      <c r="B614" t="s">
        <v>77</v>
      </c>
      <c r="C614" t="s">
        <v>31</v>
      </c>
      <c r="D614" t="s">
        <v>14</v>
      </c>
      <c r="E614" s="7">
        <v>986</v>
      </c>
      <c r="F614" s="8">
        <v>11400</v>
      </c>
      <c r="G614" s="8">
        <f t="shared" si="36"/>
        <v>14250</v>
      </c>
      <c r="H614" s="8">
        <f t="shared" si="37"/>
        <v>14050500</v>
      </c>
      <c r="I614" s="8">
        <f t="shared" si="38"/>
        <v>11240400</v>
      </c>
      <c r="J614" s="8">
        <f t="shared" si="39"/>
        <v>2810100</v>
      </c>
      <c r="K614" s="9">
        <v>45843</v>
      </c>
      <c r="L614" s="10">
        <f>Table1[[#This Row],[Profit]]/Table1[[#This Row],[Sales]]</f>
        <v>0.2</v>
      </c>
    </row>
    <row r="615" spans="1:12">
      <c r="A615" t="s">
        <v>11</v>
      </c>
      <c r="B615" t="s">
        <v>88</v>
      </c>
      <c r="C615" t="s">
        <v>31</v>
      </c>
      <c r="D615" t="s">
        <v>14</v>
      </c>
      <c r="E615" s="7">
        <v>1751</v>
      </c>
      <c r="F615" s="8">
        <v>17400</v>
      </c>
      <c r="G615" s="8">
        <f t="shared" si="36"/>
        <v>21750</v>
      </c>
      <c r="H615" s="8">
        <f t="shared" si="37"/>
        <v>38084250</v>
      </c>
      <c r="I615" s="8">
        <f t="shared" si="38"/>
        <v>30467400</v>
      </c>
      <c r="J615" s="8">
        <f t="shared" si="39"/>
        <v>7616850</v>
      </c>
      <c r="K615" s="9">
        <v>45849</v>
      </c>
      <c r="L615" s="10">
        <f>Table1[[#This Row],[Profit]]/Table1[[#This Row],[Sales]]</f>
        <v>0.2</v>
      </c>
    </row>
    <row r="616" spans="1:12">
      <c r="A616" t="s">
        <v>11</v>
      </c>
      <c r="B616" t="s">
        <v>97</v>
      </c>
      <c r="C616" t="s">
        <v>37</v>
      </c>
      <c r="D616" t="s">
        <v>14</v>
      </c>
      <c r="E616" s="7">
        <v>2336</v>
      </c>
      <c r="F616" s="8">
        <v>7200</v>
      </c>
      <c r="G616" s="8">
        <f t="shared" si="36"/>
        <v>9000</v>
      </c>
      <c r="H616" s="8">
        <f t="shared" si="37"/>
        <v>21024000</v>
      </c>
      <c r="I616" s="8">
        <f t="shared" si="38"/>
        <v>16819200</v>
      </c>
      <c r="J616" s="8">
        <f t="shared" si="39"/>
        <v>4204800</v>
      </c>
      <c r="K616" s="9">
        <v>45849</v>
      </c>
      <c r="L616" s="10">
        <f>Table1[[#This Row],[Profit]]/Table1[[#This Row],[Sales]]</f>
        <v>0.2</v>
      </c>
    </row>
    <row r="617" spans="1:12">
      <c r="A617" t="s">
        <v>11</v>
      </c>
      <c r="B617" t="s">
        <v>88</v>
      </c>
      <c r="C617" t="s">
        <v>79</v>
      </c>
      <c r="D617" t="s">
        <v>14</v>
      </c>
      <c r="E617" s="7">
        <v>2061</v>
      </c>
      <c r="F617" s="8">
        <v>13700</v>
      </c>
      <c r="G617" s="8">
        <f t="shared" si="36"/>
        <v>17125</v>
      </c>
      <c r="H617" s="8">
        <f t="shared" si="37"/>
        <v>35294625</v>
      </c>
      <c r="I617" s="8">
        <f t="shared" si="38"/>
        <v>28235700</v>
      </c>
      <c r="J617" s="8">
        <f t="shared" si="39"/>
        <v>7058925</v>
      </c>
      <c r="K617" s="9">
        <v>45851</v>
      </c>
      <c r="L617" s="10">
        <f>Table1[[#This Row],[Profit]]/Table1[[#This Row],[Sales]]</f>
        <v>0.2</v>
      </c>
    </row>
    <row r="618" spans="1:12">
      <c r="A618" t="s">
        <v>11</v>
      </c>
      <c r="B618" t="s">
        <v>51</v>
      </c>
      <c r="C618" t="s">
        <v>31</v>
      </c>
      <c r="D618" t="s">
        <v>14</v>
      </c>
      <c r="E618" s="7">
        <v>2653</v>
      </c>
      <c r="F618" s="8">
        <v>24900</v>
      </c>
      <c r="G618" s="8">
        <f t="shared" si="36"/>
        <v>31125</v>
      </c>
      <c r="H618" s="8">
        <f t="shared" si="37"/>
        <v>82574625</v>
      </c>
      <c r="I618" s="8">
        <f t="shared" si="38"/>
        <v>66059700</v>
      </c>
      <c r="J618" s="8">
        <f t="shared" si="39"/>
        <v>16514925</v>
      </c>
      <c r="K618" s="9">
        <v>45852</v>
      </c>
      <c r="L618" s="10">
        <f>Table1[[#This Row],[Profit]]/Table1[[#This Row],[Sales]]</f>
        <v>0.2</v>
      </c>
    </row>
    <row r="619" spans="1:12">
      <c r="A619" t="s">
        <v>11</v>
      </c>
      <c r="B619" t="s">
        <v>77</v>
      </c>
      <c r="C619" t="s">
        <v>27</v>
      </c>
      <c r="D619" t="s">
        <v>14</v>
      </c>
      <c r="E619" s="7">
        <v>2101</v>
      </c>
      <c r="F619" s="8">
        <v>2500</v>
      </c>
      <c r="G619" s="8">
        <f t="shared" si="36"/>
        <v>3125</v>
      </c>
      <c r="H619" s="8">
        <f t="shared" si="37"/>
        <v>6565625</v>
      </c>
      <c r="I619" s="8">
        <f t="shared" si="38"/>
        <v>5252500</v>
      </c>
      <c r="J619" s="8">
        <f t="shared" si="39"/>
        <v>1313125</v>
      </c>
      <c r="K619" s="9">
        <v>45854</v>
      </c>
      <c r="L619" s="10">
        <f>Table1[[#This Row],[Profit]]/Table1[[#This Row],[Sales]]</f>
        <v>0.2</v>
      </c>
    </row>
    <row r="620" spans="1:12">
      <c r="A620" t="s">
        <v>11</v>
      </c>
      <c r="B620" t="s">
        <v>97</v>
      </c>
      <c r="C620" t="s">
        <v>37</v>
      </c>
      <c r="D620" t="s">
        <v>14</v>
      </c>
      <c r="E620" s="7">
        <v>318</v>
      </c>
      <c r="F620" s="8">
        <v>9000</v>
      </c>
      <c r="G620" s="8">
        <f t="shared" si="36"/>
        <v>11250</v>
      </c>
      <c r="H620" s="8">
        <f t="shared" si="37"/>
        <v>3577500</v>
      </c>
      <c r="I620" s="8">
        <f t="shared" si="38"/>
        <v>2862000</v>
      </c>
      <c r="J620" s="8">
        <f t="shared" si="39"/>
        <v>715500</v>
      </c>
      <c r="K620" s="9">
        <v>45854</v>
      </c>
      <c r="L620" s="10">
        <f>Table1[[#This Row],[Profit]]/Table1[[#This Row],[Sales]]</f>
        <v>0.2</v>
      </c>
    </row>
    <row r="621" spans="1:12">
      <c r="A621" t="s">
        <v>11</v>
      </c>
      <c r="B621" t="s">
        <v>62</v>
      </c>
      <c r="C621" t="s">
        <v>17</v>
      </c>
      <c r="D621" t="s">
        <v>14</v>
      </c>
      <c r="E621" s="7">
        <v>657</v>
      </c>
      <c r="F621" s="8">
        <v>16100</v>
      </c>
      <c r="G621" s="8">
        <f t="shared" si="36"/>
        <v>20125</v>
      </c>
      <c r="H621" s="8">
        <f t="shared" si="37"/>
        <v>13222125</v>
      </c>
      <c r="I621" s="8">
        <f t="shared" si="38"/>
        <v>10577700</v>
      </c>
      <c r="J621" s="8">
        <f t="shared" si="39"/>
        <v>2644425</v>
      </c>
      <c r="K621" s="9">
        <v>45855</v>
      </c>
      <c r="L621" s="10">
        <f>Table1[[#This Row],[Profit]]/Table1[[#This Row],[Sales]]</f>
        <v>0.2</v>
      </c>
    </row>
    <row r="622" spans="1:12">
      <c r="A622" t="s">
        <v>11</v>
      </c>
      <c r="B622" t="s">
        <v>98</v>
      </c>
      <c r="C622" t="s">
        <v>79</v>
      </c>
      <c r="D622" t="s">
        <v>14</v>
      </c>
      <c r="E622" s="7">
        <v>337</v>
      </c>
      <c r="F622" s="8">
        <v>17100</v>
      </c>
      <c r="G622" s="8">
        <f t="shared" si="36"/>
        <v>21375</v>
      </c>
      <c r="H622" s="8">
        <f t="shared" si="37"/>
        <v>7203375</v>
      </c>
      <c r="I622" s="8">
        <f t="shared" si="38"/>
        <v>5762700</v>
      </c>
      <c r="J622" s="8">
        <f t="shared" si="39"/>
        <v>1440675</v>
      </c>
      <c r="K622" s="9">
        <v>45855</v>
      </c>
      <c r="L622" s="10">
        <f>Table1[[#This Row],[Profit]]/Table1[[#This Row],[Sales]]</f>
        <v>0.2</v>
      </c>
    </row>
    <row r="623" spans="1:12">
      <c r="A623" t="s">
        <v>11</v>
      </c>
      <c r="B623" t="s">
        <v>51</v>
      </c>
      <c r="C623" t="s">
        <v>21</v>
      </c>
      <c r="D623" t="s">
        <v>14</v>
      </c>
      <c r="E623" s="7">
        <v>1543</v>
      </c>
      <c r="F623" s="8">
        <v>9300</v>
      </c>
      <c r="G623" s="8">
        <f t="shared" si="36"/>
        <v>11625</v>
      </c>
      <c r="H623" s="8">
        <f t="shared" si="37"/>
        <v>17937375</v>
      </c>
      <c r="I623" s="8">
        <f t="shared" si="38"/>
        <v>14349900</v>
      </c>
      <c r="J623" s="8">
        <f t="shared" si="39"/>
        <v>3587475</v>
      </c>
      <c r="K623" s="9">
        <v>45856</v>
      </c>
      <c r="L623" s="10">
        <f>Table1[[#This Row],[Profit]]/Table1[[#This Row],[Sales]]</f>
        <v>0.2</v>
      </c>
    </row>
    <row r="624" spans="1:12">
      <c r="A624" t="s">
        <v>11</v>
      </c>
      <c r="B624" t="s">
        <v>51</v>
      </c>
      <c r="C624" t="s">
        <v>34</v>
      </c>
      <c r="D624" t="s">
        <v>14</v>
      </c>
      <c r="E624" s="7">
        <v>1739</v>
      </c>
      <c r="F624" s="8">
        <v>3200</v>
      </c>
      <c r="G624" s="8">
        <f t="shared" si="36"/>
        <v>4000</v>
      </c>
      <c r="H624" s="8">
        <f t="shared" si="37"/>
        <v>6956000</v>
      </c>
      <c r="I624" s="8">
        <f t="shared" si="38"/>
        <v>5564800</v>
      </c>
      <c r="J624" s="8">
        <f t="shared" si="39"/>
        <v>1391200</v>
      </c>
      <c r="K624" s="9">
        <v>45859</v>
      </c>
      <c r="L624" s="10">
        <f>Table1[[#This Row],[Profit]]/Table1[[#This Row],[Sales]]</f>
        <v>0.2</v>
      </c>
    </row>
    <row r="625" spans="1:12">
      <c r="A625" t="s">
        <v>11</v>
      </c>
      <c r="B625" t="s">
        <v>26</v>
      </c>
      <c r="C625" t="s">
        <v>68</v>
      </c>
      <c r="D625" t="s">
        <v>14</v>
      </c>
      <c r="E625" s="7">
        <v>495</v>
      </c>
      <c r="F625" s="8">
        <v>3700</v>
      </c>
      <c r="G625" s="8">
        <f t="shared" si="36"/>
        <v>4625</v>
      </c>
      <c r="H625" s="8">
        <f t="shared" si="37"/>
        <v>2289375</v>
      </c>
      <c r="I625" s="8">
        <f t="shared" si="38"/>
        <v>1831500</v>
      </c>
      <c r="J625" s="8">
        <f t="shared" si="39"/>
        <v>457875</v>
      </c>
      <c r="K625" s="9">
        <v>45859</v>
      </c>
      <c r="L625" s="10">
        <f>Table1[[#This Row],[Profit]]/Table1[[#This Row],[Sales]]</f>
        <v>0.2</v>
      </c>
    </row>
    <row r="626" spans="1:12">
      <c r="A626" t="s">
        <v>11</v>
      </c>
      <c r="B626" t="s">
        <v>98</v>
      </c>
      <c r="C626" t="s">
        <v>68</v>
      </c>
      <c r="D626" t="s">
        <v>14</v>
      </c>
      <c r="E626" s="7">
        <v>1832</v>
      </c>
      <c r="F626" s="8">
        <v>18600</v>
      </c>
      <c r="G626" s="8">
        <f t="shared" si="36"/>
        <v>23250</v>
      </c>
      <c r="H626" s="8">
        <f t="shared" si="37"/>
        <v>42594000</v>
      </c>
      <c r="I626" s="8">
        <f t="shared" si="38"/>
        <v>34075200</v>
      </c>
      <c r="J626" s="8">
        <f t="shared" si="39"/>
        <v>8518800</v>
      </c>
      <c r="K626" s="9">
        <v>45860</v>
      </c>
      <c r="L626" s="10">
        <f>Table1[[#This Row],[Profit]]/Table1[[#This Row],[Sales]]</f>
        <v>0.2</v>
      </c>
    </row>
    <row r="627" spans="1:12">
      <c r="A627" t="s">
        <v>11</v>
      </c>
      <c r="B627" t="s">
        <v>97</v>
      </c>
      <c r="C627" t="s">
        <v>79</v>
      </c>
      <c r="D627" t="s">
        <v>14</v>
      </c>
      <c r="E627" s="7">
        <v>2414</v>
      </c>
      <c r="F627" s="8">
        <v>22400</v>
      </c>
      <c r="G627" s="8">
        <f t="shared" si="36"/>
        <v>28000</v>
      </c>
      <c r="H627" s="8">
        <f t="shared" si="37"/>
        <v>67592000</v>
      </c>
      <c r="I627" s="8">
        <f t="shared" si="38"/>
        <v>54073600</v>
      </c>
      <c r="J627" s="8">
        <f t="shared" si="39"/>
        <v>13518400</v>
      </c>
      <c r="K627" s="9">
        <v>45861</v>
      </c>
      <c r="L627" s="10">
        <f>Table1[[#This Row],[Profit]]/Table1[[#This Row],[Sales]]</f>
        <v>0.2</v>
      </c>
    </row>
    <row r="628" spans="1:12">
      <c r="A628" t="s">
        <v>11</v>
      </c>
      <c r="B628" t="s">
        <v>26</v>
      </c>
      <c r="C628" t="s">
        <v>31</v>
      </c>
      <c r="D628" t="s">
        <v>14</v>
      </c>
      <c r="E628" s="7">
        <v>2675</v>
      </c>
      <c r="F628" s="8">
        <v>20400</v>
      </c>
      <c r="G628" s="8">
        <f t="shared" si="36"/>
        <v>25500</v>
      </c>
      <c r="H628" s="8">
        <f t="shared" si="37"/>
        <v>68212500</v>
      </c>
      <c r="I628" s="8">
        <f t="shared" si="38"/>
        <v>54570000</v>
      </c>
      <c r="J628" s="8">
        <f t="shared" si="39"/>
        <v>13642500</v>
      </c>
      <c r="K628" s="9">
        <v>45862</v>
      </c>
      <c r="L628" s="10">
        <f>Table1[[#This Row],[Profit]]/Table1[[#This Row],[Sales]]</f>
        <v>0.2</v>
      </c>
    </row>
    <row r="629" spans="1:12">
      <c r="A629" t="s">
        <v>11</v>
      </c>
      <c r="B629" t="s">
        <v>36</v>
      </c>
      <c r="C629" t="s">
        <v>37</v>
      </c>
      <c r="D629" t="s">
        <v>14</v>
      </c>
      <c r="E629" s="7">
        <v>2988</v>
      </c>
      <c r="F629" s="8">
        <v>13500</v>
      </c>
      <c r="G629" s="8">
        <f t="shared" si="36"/>
        <v>16875</v>
      </c>
      <c r="H629" s="8">
        <f t="shared" si="37"/>
        <v>50422500</v>
      </c>
      <c r="I629" s="8">
        <f t="shared" si="38"/>
        <v>40338000</v>
      </c>
      <c r="J629" s="8">
        <f t="shared" si="39"/>
        <v>10084500</v>
      </c>
      <c r="K629" s="9">
        <v>45862</v>
      </c>
      <c r="L629" s="10">
        <f>Table1[[#This Row],[Profit]]/Table1[[#This Row],[Sales]]</f>
        <v>0.2</v>
      </c>
    </row>
    <row r="630" spans="1:12">
      <c r="A630" t="s">
        <v>11</v>
      </c>
      <c r="B630" t="s">
        <v>98</v>
      </c>
      <c r="C630" t="s">
        <v>37</v>
      </c>
      <c r="D630" t="s">
        <v>14</v>
      </c>
      <c r="E630" s="7">
        <v>1021</v>
      </c>
      <c r="F630" s="8">
        <v>9200</v>
      </c>
      <c r="G630" s="8">
        <f t="shared" si="36"/>
        <v>11500</v>
      </c>
      <c r="H630" s="8">
        <f t="shared" si="37"/>
        <v>11741500</v>
      </c>
      <c r="I630" s="8">
        <f t="shared" si="38"/>
        <v>9393200</v>
      </c>
      <c r="J630" s="8">
        <f t="shared" si="39"/>
        <v>2348300</v>
      </c>
      <c r="K630" s="9">
        <v>45870</v>
      </c>
      <c r="L630" s="10">
        <f>Table1[[#This Row],[Profit]]/Table1[[#This Row],[Sales]]</f>
        <v>0.2</v>
      </c>
    </row>
    <row r="631" spans="1:12">
      <c r="A631" t="s">
        <v>11</v>
      </c>
      <c r="B631" t="s">
        <v>51</v>
      </c>
      <c r="C631" t="s">
        <v>37</v>
      </c>
      <c r="D631" t="s">
        <v>14</v>
      </c>
      <c r="E631" s="7">
        <v>461</v>
      </c>
      <c r="F631" s="8">
        <v>17600</v>
      </c>
      <c r="G631" s="8">
        <f t="shared" si="36"/>
        <v>22000</v>
      </c>
      <c r="H631" s="8">
        <f t="shared" si="37"/>
        <v>10142000</v>
      </c>
      <c r="I631" s="8">
        <f t="shared" si="38"/>
        <v>8113600</v>
      </c>
      <c r="J631" s="8">
        <f t="shared" si="39"/>
        <v>2028400</v>
      </c>
      <c r="K631" s="9">
        <v>45873</v>
      </c>
      <c r="L631" s="10">
        <f>Table1[[#This Row],[Profit]]/Table1[[#This Row],[Sales]]</f>
        <v>0.2</v>
      </c>
    </row>
    <row r="632" spans="1:12">
      <c r="A632" t="s">
        <v>11</v>
      </c>
      <c r="B632" t="s">
        <v>20</v>
      </c>
      <c r="C632" t="s">
        <v>17</v>
      </c>
      <c r="D632" t="s">
        <v>14</v>
      </c>
      <c r="E632" s="7">
        <v>2085</v>
      </c>
      <c r="F632" s="8">
        <v>7700</v>
      </c>
      <c r="G632" s="8">
        <f t="shared" si="36"/>
        <v>9625</v>
      </c>
      <c r="H632" s="8">
        <f t="shared" si="37"/>
        <v>20068125</v>
      </c>
      <c r="I632" s="8">
        <f t="shared" si="38"/>
        <v>16054500</v>
      </c>
      <c r="J632" s="8">
        <f t="shared" si="39"/>
        <v>4013625</v>
      </c>
      <c r="K632" s="9">
        <v>45873</v>
      </c>
      <c r="L632" s="10">
        <f>Table1[[#This Row],[Profit]]/Table1[[#This Row],[Sales]]</f>
        <v>0.2</v>
      </c>
    </row>
    <row r="633" spans="1:12">
      <c r="A633" t="s">
        <v>11</v>
      </c>
      <c r="B633" t="s">
        <v>62</v>
      </c>
      <c r="C633" t="s">
        <v>34</v>
      </c>
      <c r="D633" t="s">
        <v>14</v>
      </c>
      <c r="E633" s="7">
        <v>169</v>
      </c>
      <c r="F633" s="8">
        <v>16700</v>
      </c>
      <c r="G633" s="8">
        <f t="shared" si="36"/>
        <v>20875</v>
      </c>
      <c r="H633" s="8">
        <f t="shared" si="37"/>
        <v>3527875</v>
      </c>
      <c r="I633" s="8">
        <f t="shared" si="38"/>
        <v>2822300</v>
      </c>
      <c r="J633" s="8">
        <f t="shared" si="39"/>
        <v>705575</v>
      </c>
      <c r="K633" s="9">
        <v>45874</v>
      </c>
      <c r="L633" s="10">
        <f>Table1[[#This Row],[Profit]]/Table1[[#This Row],[Sales]]</f>
        <v>0.2</v>
      </c>
    </row>
    <row r="634" spans="1:12">
      <c r="A634" t="s">
        <v>11</v>
      </c>
      <c r="B634" t="s">
        <v>36</v>
      </c>
      <c r="C634" t="s">
        <v>17</v>
      </c>
      <c r="D634" t="s">
        <v>14</v>
      </c>
      <c r="E634" s="7">
        <v>968</v>
      </c>
      <c r="F634" s="8">
        <v>17400</v>
      </c>
      <c r="G634" s="8">
        <f t="shared" si="36"/>
        <v>21750</v>
      </c>
      <c r="H634" s="8">
        <f t="shared" si="37"/>
        <v>21054000</v>
      </c>
      <c r="I634" s="8">
        <f t="shared" si="38"/>
        <v>16843200</v>
      </c>
      <c r="J634" s="8">
        <f t="shared" si="39"/>
        <v>4210800</v>
      </c>
      <c r="K634" s="9">
        <v>45875</v>
      </c>
      <c r="L634" s="10">
        <f>Table1[[#This Row],[Profit]]/Table1[[#This Row],[Sales]]</f>
        <v>0.2</v>
      </c>
    </row>
    <row r="635" spans="1:12">
      <c r="A635" t="s">
        <v>11</v>
      </c>
      <c r="B635" t="s">
        <v>39</v>
      </c>
      <c r="C635" t="s">
        <v>31</v>
      </c>
      <c r="D635" t="s">
        <v>14</v>
      </c>
      <c r="E635" s="7">
        <v>1407</v>
      </c>
      <c r="F635" s="8">
        <v>11200</v>
      </c>
      <c r="G635" s="8">
        <f t="shared" si="36"/>
        <v>14000</v>
      </c>
      <c r="H635" s="8">
        <f t="shared" si="37"/>
        <v>19698000</v>
      </c>
      <c r="I635" s="8">
        <f t="shared" si="38"/>
        <v>15758400</v>
      </c>
      <c r="J635" s="8">
        <f t="shared" si="39"/>
        <v>3939600</v>
      </c>
      <c r="K635" s="9">
        <v>45876</v>
      </c>
      <c r="L635" s="10">
        <f>Table1[[#This Row],[Profit]]/Table1[[#This Row],[Sales]]</f>
        <v>0.2</v>
      </c>
    </row>
    <row r="636" spans="1:12">
      <c r="A636" t="s">
        <v>11</v>
      </c>
      <c r="B636" t="s">
        <v>98</v>
      </c>
      <c r="C636" t="s">
        <v>34</v>
      </c>
      <c r="D636" t="s">
        <v>14</v>
      </c>
      <c r="E636" s="7">
        <v>2734</v>
      </c>
      <c r="F636" s="8">
        <v>9400</v>
      </c>
      <c r="G636" s="8">
        <f t="shared" si="36"/>
        <v>11750</v>
      </c>
      <c r="H636" s="8">
        <f t="shared" si="37"/>
        <v>32124500</v>
      </c>
      <c r="I636" s="8">
        <f t="shared" si="38"/>
        <v>25699600</v>
      </c>
      <c r="J636" s="8">
        <f t="shared" si="39"/>
        <v>6424900</v>
      </c>
      <c r="K636" s="9">
        <v>45877</v>
      </c>
      <c r="L636" s="10">
        <f>Table1[[#This Row],[Profit]]/Table1[[#This Row],[Sales]]</f>
        <v>0.2</v>
      </c>
    </row>
    <row r="637" spans="1:12">
      <c r="A637" t="s">
        <v>11</v>
      </c>
      <c r="B637" t="s">
        <v>62</v>
      </c>
      <c r="C637" t="s">
        <v>31</v>
      </c>
      <c r="D637" t="s">
        <v>14</v>
      </c>
      <c r="E637" s="7">
        <v>2575</v>
      </c>
      <c r="F637" s="8">
        <v>24500</v>
      </c>
      <c r="G637" s="8">
        <f t="shared" si="36"/>
        <v>30625</v>
      </c>
      <c r="H637" s="8">
        <f t="shared" si="37"/>
        <v>78859375</v>
      </c>
      <c r="I637" s="8">
        <f t="shared" si="38"/>
        <v>63087500</v>
      </c>
      <c r="J637" s="8">
        <f t="shared" si="39"/>
        <v>15771875</v>
      </c>
      <c r="K637" s="9">
        <v>45878</v>
      </c>
      <c r="L637" s="10">
        <f>Table1[[#This Row],[Profit]]/Table1[[#This Row],[Sales]]</f>
        <v>0.2</v>
      </c>
    </row>
    <row r="638" spans="1:12">
      <c r="A638" t="s">
        <v>11</v>
      </c>
      <c r="B638" t="s">
        <v>26</v>
      </c>
      <c r="C638" t="s">
        <v>17</v>
      </c>
      <c r="D638" t="s">
        <v>14</v>
      </c>
      <c r="E638" s="7">
        <v>2398</v>
      </c>
      <c r="F638" s="8">
        <v>1800</v>
      </c>
      <c r="G638" s="8">
        <f t="shared" si="36"/>
        <v>2250</v>
      </c>
      <c r="H638" s="8">
        <f t="shared" si="37"/>
        <v>5395500</v>
      </c>
      <c r="I638" s="8">
        <f t="shared" si="38"/>
        <v>4316400</v>
      </c>
      <c r="J638" s="8">
        <f t="shared" si="39"/>
        <v>1079100</v>
      </c>
      <c r="K638" s="9">
        <v>45881</v>
      </c>
      <c r="L638" s="10">
        <f>Table1[[#This Row],[Profit]]/Table1[[#This Row],[Sales]]</f>
        <v>0.2</v>
      </c>
    </row>
    <row r="639" spans="1:12">
      <c r="A639" t="s">
        <v>11</v>
      </c>
      <c r="B639" t="s">
        <v>97</v>
      </c>
      <c r="C639" t="s">
        <v>27</v>
      </c>
      <c r="D639" t="s">
        <v>14</v>
      </c>
      <c r="E639" s="7">
        <v>1267</v>
      </c>
      <c r="F639" s="8">
        <v>1900</v>
      </c>
      <c r="G639" s="8">
        <f t="shared" si="36"/>
        <v>2375</v>
      </c>
      <c r="H639" s="8">
        <f t="shared" si="37"/>
        <v>3009125</v>
      </c>
      <c r="I639" s="8">
        <f t="shared" si="38"/>
        <v>2407300</v>
      </c>
      <c r="J639" s="8">
        <f t="shared" si="39"/>
        <v>601825</v>
      </c>
      <c r="K639" s="9">
        <v>45882</v>
      </c>
      <c r="L639" s="10">
        <f>Table1[[#This Row],[Profit]]/Table1[[#This Row],[Sales]]</f>
        <v>0.2</v>
      </c>
    </row>
    <row r="640" spans="1:12">
      <c r="A640" t="s">
        <v>11</v>
      </c>
      <c r="B640" t="s">
        <v>26</v>
      </c>
      <c r="C640" t="s">
        <v>63</v>
      </c>
      <c r="D640" t="s">
        <v>14</v>
      </c>
      <c r="E640" s="7">
        <v>354</v>
      </c>
      <c r="F640" s="8">
        <v>3900</v>
      </c>
      <c r="G640" s="8">
        <f t="shared" si="36"/>
        <v>4875</v>
      </c>
      <c r="H640" s="8">
        <f t="shared" si="37"/>
        <v>1725750</v>
      </c>
      <c r="I640" s="8">
        <f t="shared" si="38"/>
        <v>1380600</v>
      </c>
      <c r="J640" s="8">
        <f t="shared" si="39"/>
        <v>345150</v>
      </c>
      <c r="K640" s="9">
        <v>45884</v>
      </c>
      <c r="L640" s="10">
        <f>Table1[[#This Row],[Profit]]/Table1[[#This Row],[Sales]]</f>
        <v>0.2</v>
      </c>
    </row>
    <row r="641" spans="1:12">
      <c r="A641" t="s">
        <v>11</v>
      </c>
      <c r="B641" t="s">
        <v>62</v>
      </c>
      <c r="C641" t="s">
        <v>63</v>
      </c>
      <c r="D641" t="s">
        <v>14</v>
      </c>
      <c r="E641" s="7">
        <v>2861</v>
      </c>
      <c r="F641" s="8">
        <v>12600</v>
      </c>
      <c r="G641" s="8">
        <f t="shared" si="36"/>
        <v>15750</v>
      </c>
      <c r="H641" s="8">
        <f t="shared" si="37"/>
        <v>45060750</v>
      </c>
      <c r="I641" s="8">
        <f t="shared" si="38"/>
        <v>36048600</v>
      </c>
      <c r="J641" s="8">
        <f t="shared" si="39"/>
        <v>9012150</v>
      </c>
      <c r="K641" s="9">
        <v>45884</v>
      </c>
      <c r="L641" s="10">
        <f>Table1[[#This Row],[Profit]]/Table1[[#This Row],[Sales]]</f>
        <v>0.2</v>
      </c>
    </row>
    <row r="642" spans="1:12">
      <c r="A642" t="s">
        <v>11</v>
      </c>
      <c r="B642" t="s">
        <v>98</v>
      </c>
      <c r="C642" t="s">
        <v>13</v>
      </c>
      <c r="D642" t="s">
        <v>14</v>
      </c>
      <c r="E642" s="7">
        <v>1702</v>
      </c>
      <c r="F642" s="8">
        <v>6600</v>
      </c>
      <c r="G642" s="8">
        <f t="shared" ref="G642:G705" si="40">ROUNDDOWN(F642/100,0)*100*1.25</f>
        <v>8250</v>
      </c>
      <c r="H642" s="8">
        <f t="shared" ref="H642:H705" si="41">E642*G642</f>
        <v>14041500</v>
      </c>
      <c r="I642" s="8">
        <f t="shared" ref="I642:I705" si="42">E642*F642</f>
        <v>11233200</v>
      </c>
      <c r="J642" s="8">
        <f t="shared" ref="J642:J705" si="43">H642-I642</f>
        <v>2808300</v>
      </c>
      <c r="K642" s="9">
        <v>45884</v>
      </c>
      <c r="L642" s="10">
        <f>Table1[[#This Row],[Profit]]/Table1[[#This Row],[Sales]]</f>
        <v>0.2</v>
      </c>
    </row>
    <row r="643" spans="1:12">
      <c r="A643" t="s">
        <v>11</v>
      </c>
      <c r="B643" t="s">
        <v>77</v>
      </c>
      <c r="C643" t="s">
        <v>13</v>
      </c>
      <c r="D643" t="s">
        <v>14</v>
      </c>
      <c r="E643" s="7">
        <v>1783</v>
      </c>
      <c r="F643" s="8">
        <v>14300</v>
      </c>
      <c r="G643" s="8">
        <f t="shared" si="40"/>
        <v>17875</v>
      </c>
      <c r="H643" s="8">
        <f t="shared" si="41"/>
        <v>31871125</v>
      </c>
      <c r="I643" s="8">
        <f t="shared" si="42"/>
        <v>25496900</v>
      </c>
      <c r="J643" s="8">
        <f t="shared" si="43"/>
        <v>6374225</v>
      </c>
      <c r="K643" s="9">
        <v>45884</v>
      </c>
      <c r="L643" s="10">
        <f>Table1[[#This Row],[Profit]]/Table1[[#This Row],[Sales]]</f>
        <v>0.2</v>
      </c>
    </row>
    <row r="644" spans="1:12">
      <c r="A644" t="s">
        <v>11</v>
      </c>
      <c r="B644" t="s">
        <v>26</v>
      </c>
      <c r="C644" t="s">
        <v>21</v>
      </c>
      <c r="D644" t="s">
        <v>14</v>
      </c>
      <c r="E644" s="7">
        <v>1066</v>
      </c>
      <c r="F644" s="8">
        <v>7200</v>
      </c>
      <c r="G644" s="8">
        <f t="shared" si="40"/>
        <v>9000</v>
      </c>
      <c r="H644" s="8">
        <f t="shared" si="41"/>
        <v>9594000</v>
      </c>
      <c r="I644" s="8">
        <f t="shared" si="42"/>
        <v>7675200</v>
      </c>
      <c r="J644" s="8">
        <f t="shared" si="43"/>
        <v>1918800</v>
      </c>
      <c r="K644" s="9">
        <v>45887</v>
      </c>
      <c r="L644" s="10">
        <f>Table1[[#This Row],[Profit]]/Table1[[#This Row],[Sales]]</f>
        <v>0.2</v>
      </c>
    </row>
    <row r="645" spans="1:12">
      <c r="A645" t="s">
        <v>11</v>
      </c>
      <c r="B645" t="s">
        <v>88</v>
      </c>
      <c r="C645" t="s">
        <v>13</v>
      </c>
      <c r="D645" t="s">
        <v>14</v>
      </c>
      <c r="E645" s="7">
        <v>744</v>
      </c>
      <c r="F645" s="8">
        <v>11300</v>
      </c>
      <c r="G645" s="8">
        <f t="shared" si="40"/>
        <v>14125</v>
      </c>
      <c r="H645" s="8">
        <f t="shared" si="41"/>
        <v>10509000</v>
      </c>
      <c r="I645" s="8">
        <f t="shared" si="42"/>
        <v>8407200</v>
      </c>
      <c r="J645" s="8">
        <f t="shared" si="43"/>
        <v>2101800</v>
      </c>
      <c r="K645" s="9">
        <v>45889</v>
      </c>
      <c r="L645" s="10">
        <f>Table1[[#This Row],[Profit]]/Table1[[#This Row],[Sales]]</f>
        <v>0.2</v>
      </c>
    </row>
    <row r="646" spans="1:12">
      <c r="A646" t="s">
        <v>11</v>
      </c>
      <c r="B646" t="s">
        <v>77</v>
      </c>
      <c r="C646" t="s">
        <v>79</v>
      </c>
      <c r="D646" t="s">
        <v>14</v>
      </c>
      <c r="E646" s="7">
        <v>1719</v>
      </c>
      <c r="F646" s="8">
        <v>7200</v>
      </c>
      <c r="G646" s="8">
        <f t="shared" si="40"/>
        <v>9000</v>
      </c>
      <c r="H646" s="8">
        <f t="shared" si="41"/>
        <v>15471000</v>
      </c>
      <c r="I646" s="8">
        <f t="shared" si="42"/>
        <v>12376800</v>
      </c>
      <c r="J646" s="8">
        <f t="shared" si="43"/>
        <v>3094200</v>
      </c>
      <c r="K646" s="9">
        <v>45894</v>
      </c>
      <c r="L646" s="10">
        <f>Table1[[#This Row],[Profit]]/Table1[[#This Row],[Sales]]</f>
        <v>0.2</v>
      </c>
    </row>
    <row r="647" spans="1:12">
      <c r="A647" t="s">
        <v>11</v>
      </c>
      <c r="B647" t="s">
        <v>98</v>
      </c>
      <c r="C647" t="s">
        <v>13</v>
      </c>
      <c r="D647" t="s">
        <v>14</v>
      </c>
      <c r="E647" s="7">
        <v>1755</v>
      </c>
      <c r="F647" s="8">
        <v>18200</v>
      </c>
      <c r="G647" s="8">
        <f t="shared" si="40"/>
        <v>22750</v>
      </c>
      <c r="H647" s="8">
        <f t="shared" si="41"/>
        <v>39926250</v>
      </c>
      <c r="I647" s="8">
        <f t="shared" si="42"/>
        <v>31941000</v>
      </c>
      <c r="J647" s="8">
        <f t="shared" si="43"/>
        <v>7985250</v>
      </c>
      <c r="K647" s="9">
        <v>45896</v>
      </c>
      <c r="L647" s="10">
        <f>Table1[[#This Row],[Profit]]/Table1[[#This Row],[Sales]]</f>
        <v>0.2</v>
      </c>
    </row>
    <row r="648" spans="1:12">
      <c r="A648" t="s">
        <v>11</v>
      </c>
      <c r="B648" t="s">
        <v>97</v>
      </c>
      <c r="C648" t="s">
        <v>21</v>
      </c>
      <c r="D648" t="s">
        <v>14</v>
      </c>
      <c r="E648" s="7">
        <v>2593</v>
      </c>
      <c r="F648" s="8">
        <v>10700</v>
      </c>
      <c r="G648" s="8">
        <f t="shared" si="40"/>
        <v>13375</v>
      </c>
      <c r="H648" s="8">
        <f t="shared" si="41"/>
        <v>34681375</v>
      </c>
      <c r="I648" s="8">
        <f t="shared" si="42"/>
        <v>27745100</v>
      </c>
      <c r="J648" s="8">
        <f t="shared" si="43"/>
        <v>6936275</v>
      </c>
      <c r="K648" s="9">
        <v>45896</v>
      </c>
      <c r="L648" s="10">
        <f>Table1[[#This Row],[Profit]]/Table1[[#This Row],[Sales]]</f>
        <v>0.2</v>
      </c>
    </row>
    <row r="649" spans="1:12">
      <c r="A649" t="s">
        <v>11</v>
      </c>
      <c r="B649" t="s">
        <v>26</v>
      </c>
      <c r="C649" t="s">
        <v>27</v>
      </c>
      <c r="D649" t="s">
        <v>14</v>
      </c>
      <c r="E649" s="7">
        <v>2322</v>
      </c>
      <c r="F649" s="8">
        <v>14900</v>
      </c>
      <c r="G649" s="8">
        <f t="shared" si="40"/>
        <v>18625</v>
      </c>
      <c r="H649" s="8">
        <f t="shared" si="41"/>
        <v>43247250</v>
      </c>
      <c r="I649" s="8">
        <f t="shared" si="42"/>
        <v>34597800</v>
      </c>
      <c r="J649" s="8">
        <f t="shared" si="43"/>
        <v>8649450</v>
      </c>
      <c r="K649" s="9">
        <v>45896</v>
      </c>
      <c r="L649" s="10">
        <f>Table1[[#This Row],[Profit]]/Table1[[#This Row],[Sales]]</f>
        <v>0.2</v>
      </c>
    </row>
    <row r="650" spans="1:12">
      <c r="A650" t="s">
        <v>11</v>
      </c>
      <c r="B650" t="s">
        <v>51</v>
      </c>
      <c r="C650" t="s">
        <v>34</v>
      </c>
      <c r="D650" t="s">
        <v>14</v>
      </c>
      <c r="E650" s="7">
        <v>350</v>
      </c>
      <c r="F650" s="8">
        <v>23100</v>
      </c>
      <c r="G650" s="8">
        <f t="shared" si="40"/>
        <v>28875</v>
      </c>
      <c r="H650" s="8">
        <f t="shared" si="41"/>
        <v>10106250</v>
      </c>
      <c r="I650" s="8">
        <f t="shared" si="42"/>
        <v>8085000</v>
      </c>
      <c r="J650" s="8">
        <f t="shared" si="43"/>
        <v>2021250</v>
      </c>
      <c r="K650" s="9">
        <v>45899</v>
      </c>
      <c r="L650" s="10">
        <f>Table1[[#This Row],[Profit]]/Table1[[#This Row],[Sales]]</f>
        <v>0.2</v>
      </c>
    </row>
    <row r="651" spans="1:12">
      <c r="A651" t="s">
        <v>11</v>
      </c>
      <c r="B651" t="s">
        <v>97</v>
      </c>
      <c r="C651" t="s">
        <v>13</v>
      </c>
      <c r="D651" t="s">
        <v>14</v>
      </c>
      <c r="E651" s="7">
        <v>849</v>
      </c>
      <c r="F651" s="8">
        <v>3300</v>
      </c>
      <c r="G651" s="8">
        <f t="shared" si="40"/>
        <v>4125</v>
      </c>
      <c r="H651" s="8">
        <f t="shared" si="41"/>
        <v>3502125</v>
      </c>
      <c r="I651" s="8">
        <f t="shared" si="42"/>
        <v>2801700</v>
      </c>
      <c r="J651" s="8">
        <f t="shared" si="43"/>
        <v>700425</v>
      </c>
      <c r="K651" s="9">
        <v>45902</v>
      </c>
      <c r="L651" s="10">
        <f>Table1[[#This Row],[Profit]]/Table1[[#This Row],[Sales]]</f>
        <v>0.2</v>
      </c>
    </row>
    <row r="652" spans="1:12">
      <c r="A652" t="s">
        <v>11</v>
      </c>
      <c r="B652" t="s">
        <v>51</v>
      </c>
      <c r="C652" t="s">
        <v>27</v>
      </c>
      <c r="D652" t="s">
        <v>14</v>
      </c>
      <c r="E652" s="7">
        <v>2091</v>
      </c>
      <c r="F652" s="8">
        <v>23300</v>
      </c>
      <c r="G652" s="8">
        <f t="shared" si="40"/>
        <v>29125</v>
      </c>
      <c r="H652" s="8">
        <f t="shared" si="41"/>
        <v>60900375</v>
      </c>
      <c r="I652" s="8">
        <f t="shared" si="42"/>
        <v>48720300</v>
      </c>
      <c r="J652" s="8">
        <f t="shared" si="43"/>
        <v>12180075</v>
      </c>
      <c r="K652" s="9">
        <v>45903</v>
      </c>
      <c r="L652" s="10">
        <f>Table1[[#This Row],[Profit]]/Table1[[#This Row],[Sales]]</f>
        <v>0.2</v>
      </c>
    </row>
    <row r="653" spans="1:12">
      <c r="A653" t="s">
        <v>11</v>
      </c>
      <c r="B653" t="s">
        <v>20</v>
      </c>
      <c r="C653" t="s">
        <v>13</v>
      </c>
      <c r="D653" t="s">
        <v>14</v>
      </c>
      <c r="E653" s="7">
        <v>1284</v>
      </c>
      <c r="F653" s="8">
        <v>24600</v>
      </c>
      <c r="G653" s="8">
        <f t="shared" si="40"/>
        <v>30750</v>
      </c>
      <c r="H653" s="8">
        <f t="shared" si="41"/>
        <v>39483000</v>
      </c>
      <c r="I653" s="8">
        <f t="shared" si="42"/>
        <v>31586400</v>
      </c>
      <c r="J653" s="8">
        <f t="shared" si="43"/>
        <v>7896600</v>
      </c>
      <c r="K653" s="9">
        <v>45904</v>
      </c>
      <c r="L653" s="10">
        <f>Table1[[#This Row],[Profit]]/Table1[[#This Row],[Sales]]</f>
        <v>0.2</v>
      </c>
    </row>
    <row r="654" spans="1:12">
      <c r="A654" t="s">
        <v>11</v>
      </c>
      <c r="B654" t="s">
        <v>77</v>
      </c>
      <c r="C654" t="s">
        <v>34</v>
      </c>
      <c r="D654" t="s">
        <v>14</v>
      </c>
      <c r="E654" s="7">
        <v>2707</v>
      </c>
      <c r="F654" s="8">
        <v>18300</v>
      </c>
      <c r="G654" s="8">
        <f t="shared" si="40"/>
        <v>22875</v>
      </c>
      <c r="H654" s="8">
        <f t="shared" si="41"/>
        <v>61922625</v>
      </c>
      <c r="I654" s="8">
        <f t="shared" si="42"/>
        <v>49538100</v>
      </c>
      <c r="J654" s="8">
        <f t="shared" si="43"/>
        <v>12384525</v>
      </c>
      <c r="K654" s="9">
        <v>45906</v>
      </c>
      <c r="L654" s="10">
        <f>Table1[[#This Row],[Profit]]/Table1[[#This Row],[Sales]]</f>
        <v>0.2</v>
      </c>
    </row>
    <row r="655" spans="1:12">
      <c r="A655" t="s">
        <v>11</v>
      </c>
      <c r="B655" t="s">
        <v>20</v>
      </c>
      <c r="C655" t="s">
        <v>13</v>
      </c>
      <c r="D655" t="s">
        <v>14</v>
      </c>
      <c r="E655" s="7">
        <v>1550</v>
      </c>
      <c r="F655" s="8">
        <v>9100</v>
      </c>
      <c r="G655" s="8">
        <f t="shared" si="40"/>
        <v>11375</v>
      </c>
      <c r="H655" s="8">
        <f t="shared" si="41"/>
        <v>17631250</v>
      </c>
      <c r="I655" s="8">
        <f t="shared" si="42"/>
        <v>14105000</v>
      </c>
      <c r="J655" s="8">
        <f t="shared" si="43"/>
        <v>3526250</v>
      </c>
      <c r="K655" s="9">
        <v>45908</v>
      </c>
      <c r="L655" s="10">
        <f>Table1[[#This Row],[Profit]]/Table1[[#This Row],[Sales]]</f>
        <v>0.2</v>
      </c>
    </row>
    <row r="656" spans="1:12">
      <c r="A656" t="s">
        <v>11</v>
      </c>
      <c r="B656" t="s">
        <v>39</v>
      </c>
      <c r="C656" t="s">
        <v>27</v>
      </c>
      <c r="D656" t="s">
        <v>14</v>
      </c>
      <c r="E656" s="7">
        <v>1911</v>
      </c>
      <c r="F656" s="8">
        <v>6500</v>
      </c>
      <c r="G656" s="8">
        <f t="shared" si="40"/>
        <v>8125</v>
      </c>
      <c r="H656" s="8">
        <f t="shared" si="41"/>
        <v>15526875</v>
      </c>
      <c r="I656" s="8">
        <f t="shared" si="42"/>
        <v>12421500</v>
      </c>
      <c r="J656" s="8">
        <f t="shared" si="43"/>
        <v>3105375</v>
      </c>
      <c r="K656" s="9">
        <v>45912</v>
      </c>
      <c r="L656" s="10">
        <f>Table1[[#This Row],[Profit]]/Table1[[#This Row],[Sales]]</f>
        <v>0.2</v>
      </c>
    </row>
    <row r="657" spans="1:12">
      <c r="A657" t="s">
        <v>11</v>
      </c>
      <c r="B657" t="s">
        <v>26</v>
      </c>
      <c r="C657" t="s">
        <v>34</v>
      </c>
      <c r="D657" t="s">
        <v>14</v>
      </c>
      <c r="E657" s="7">
        <v>1187</v>
      </c>
      <c r="F657" s="8">
        <v>7200</v>
      </c>
      <c r="G657" s="8">
        <f t="shared" si="40"/>
        <v>9000</v>
      </c>
      <c r="H657" s="8">
        <f t="shared" si="41"/>
        <v>10683000</v>
      </c>
      <c r="I657" s="8">
        <f t="shared" si="42"/>
        <v>8546400</v>
      </c>
      <c r="J657" s="8">
        <f t="shared" si="43"/>
        <v>2136600</v>
      </c>
      <c r="K657" s="9">
        <v>45912</v>
      </c>
      <c r="L657" s="10">
        <f>Table1[[#This Row],[Profit]]/Table1[[#This Row],[Sales]]</f>
        <v>0.2</v>
      </c>
    </row>
    <row r="658" spans="1:12">
      <c r="A658" t="s">
        <v>11</v>
      </c>
      <c r="B658" t="s">
        <v>36</v>
      </c>
      <c r="C658" t="s">
        <v>31</v>
      </c>
      <c r="D658" t="s">
        <v>14</v>
      </c>
      <c r="E658" s="7">
        <v>557</v>
      </c>
      <c r="F658" s="8">
        <v>15100</v>
      </c>
      <c r="G658" s="8">
        <f t="shared" si="40"/>
        <v>18875</v>
      </c>
      <c r="H658" s="8">
        <f t="shared" si="41"/>
        <v>10513375</v>
      </c>
      <c r="I658" s="8">
        <f t="shared" si="42"/>
        <v>8410700</v>
      </c>
      <c r="J658" s="8">
        <f t="shared" si="43"/>
        <v>2102675</v>
      </c>
      <c r="K658" s="9">
        <v>45913</v>
      </c>
      <c r="L658" s="10">
        <f>Table1[[#This Row],[Profit]]/Table1[[#This Row],[Sales]]</f>
        <v>0.2</v>
      </c>
    </row>
    <row r="659" spans="1:12">
      <c r="A659" t="s">
        <v>11</v>
      </c>
      <c r="B659" t="s">
        <v>62</v>
      </c>
      <c r="C659" t="s">
        <v>27</v>
      </c>
      <c r="D659" t="s">
        <v>14</v>
      </c>
      <c r="E659" s="7">
        <v>268</v>
      </c>
      <c r="F659" s="8">
        <v>4200</v>
      </c>
      <c r="G659" s="8">
        <f t="shared" si="40"/>
        <v>5250</v>
      </c>
      <c r="H659" s="8">
        <f t="shared" si="41"/>
        <v>1407000</v>
      </c>
      <c r="I659" s="8">
        <f t="shared" si="42"/>
        <v>1125600</v>
      </c>
      <c r="J659" s="8">
        <f t="shared" si="43"/>
        <v>281400</v>
      </c>
      <c r="K659" s="9">
        <v>45914</v>
      </c>
      <c r="L659" s="10">
        <f>Table1[[#This Row],[Profit]]/Table1[[#This Row],[Sales]]</f>
        <v>0.2</v>
      </c>
    </row>
    <row r="660" spans="1:12">
      <c r="A660" t="s">
        <v>11</v>
      </c>
      <c r="B660" t="s">
        <v>98</v>
      </c>
      <c r="C660" t="s">
        <v>63</v>
      </c>
      <c r="D660" t="s">
        <v>14</v>
      </c>
      <c r="E660" s="7">
        <v>2787</v>
      </c>
      <c r="F660" s="8">
        <v>3500</v>
      </c>
      <c r="G660" s="8">
        <f t="shared" si="40"/>
        <v>4375</v>
      </c>
      <c r="H660" s="8">
        <f t="shared" si="41"/>
        <v>12193125</v>
      </c>
      <c r="I660" s="8">
        <f t="shared" si="42"/>
        <v>9754500</v>
      </c>
      <c r="J660" s="8">
        <f t="shared" si="43"/>
        <v>2438625</v>
      </c>
      <c r="K660" s="9">
        <v>45918</v>
      </c>
      <c r="L660" s="10">
        <f>Table1[[#This Row],[Profit]]/Table1[[#This Row],[Sales]]</f>
        <v>0.2</v>
      </c>
    </row>
    <row r="661" spans="1:12">
      <c r="A661" t="s">
        <v>11</v>
      </c>
      <c r="B661" t="s">
        <v>39</v>
      </c>
      <c r="C661" t="s">
        <v>37</v>
      </c>
      <c r="D661" t="s">
        <v>14</v>
      </c>
      <c r="E661" s="7">
        <v>2765</v>
      </c>
      <c r="F661" s="8">
        <v>8100</v>
      </c>
      <c r="G661" s="8">
        <f t="shared" si="40"/>
        <v>10125</v>
      </c>
      <c r="H661" s="8">
        <f t="shared" si="41"/>
        <v>27995625</v>
      </c>
      <c r="I661" s="8">
        <f t="shared" si="42"/>
        <v>22396500</v>
      </c>
      <c r="J661" s="8">
        <f t="shared" si="43"/>
        <v>5599125</v>
      </c>
      <c r="K661" s="9">
        <v>45919</v>
      </c>
      <c r="L661" s="10">
        <f>Table1[[#This Row],[Profit]]/Table1[[#This Row],[Sales]]</f>
        <v>0.2</v>
      </c>
    </row>
    <row r="662" spans="1:12">
      <c r="A662" t="s">
        <v>11</v>
      </c>
      <c r="B662" t="s">
        <v>51</v>
      </c>
      <c r="C662" t="s">
        <v>21</v>
      </c>
      <c r="D662" t="s">
        <v>14</v>
      </c>
      <c r="E662" s="7">
        <v>1297</v>
      </c>
      <c r="F662" s="8">
        <v>10100</v>
      </c>
      <c r="G662" s="8">
        <f t="shared" si="40"/>
        <v>12625</v>
      </c>
      <c r="H662" s="8">
        <f t="shared" si="41"/>
        <v>16374625</v>
      </c>
      <c r="I662" s="8">
        <f t="shared" si="42"/>
        <v>13099700</v>
      </c>
      <c r="J662" s="8">
        <f t="shared" si="43"/>
        <v>3274925</v>
      </c>
      <c r="K662" s="9">
        <v>45919</v>
      </c>
      <c r="L662" s="10">
        <f>Table1[[#This Row],[Profit]]/Table1[[#This Row],[Sales]]</f>
        <v>0.2</v>
      </c>
    </row>
    <row r="663" spans="1:12">
      <c r="A663" t="s">
        <v>11</v>
      </c>
      <c r="B663" t="s">
        <v>62</v>
      </c>
      <c r="C663" t="s">
        <v>68</v>
      </c>
      <c r="D663" t="s">
        <v>14</v>
      </c>
      <c r="E663" s="7">
        <v>812</v>
      </c>
      <c r="F663" s="8">
        <v>22600</v>
      </c>
      <c r="G663" s="8">
        <f t="shared" si="40"/>
        <v>28250</v>
      </c>
      <c r="H663" s="8">
        <f t="shared" si="41"/>
        <v>22939000</v>
      </c>
      <c r="I663" s="8">
        <f t="shared" si="42"/>
        <v>18351200</v>
      </c>
      <c r="J663" s="8">
        <f t="shared" si="43"/>
        <v>4587800</v>
      </c>
      <c r="K663" s="9">
        <v>45920</v>
      </c>
      <c r="L663" s="10">
        <f>Table1[[#This Row],[Profit]]/Table1[[#This Row],[Sales]]</f>
        <v>0.2</v>
      </c>
    </row>
    <row r="664" spans="1:12">
      <c r="A664" t="s">
        <v>11</v>
      </c>
      <c r="B664" t="s">
        <v>36</v>
      </c>
      <c r="C664" t="s">
        <v>34</v>
      </c>
      <c r="D664" t="s">
        <v>14</v>
      </c>
      <c r="E664" s="7">
        <v>1633</v>
      </c>
      <c r="F664" s="8">
        <v>22400</v>
      </c>
      <c r="G664" s="8">
        <f t="shared" si="40"/>
        <v>28000</v>
      </c>
      <c r="H664" s="8">
        <f t="shared" si="41"/>
        <v>45724000</v>
      </c>
      <c r="I664" s="8">
        <f t="shared" si="42"/>
        <v>36579200</v>
      </c>
      <c r="J664" s="8">
        <f t="shared" si="43"/>
        <v>9144800</v>
      </c>
      <c r="K664" s="9">
        <v>45922</v>
      </c>
      <c r="L664" s="10">
        <f>Table1[[#This Row],[Profit]]/Table1[[#This Row],[Sales]]</f>
        <v>0.2</v>
      </c>
    </row>
    <row r="665" spans="1:12">
      <c r="A665" t="s">
        <v>11</v>
      </c>
      <c r="B665" t="s">
        <v>51</v>
      </c>
      <c r="C665" t="s">
        <v>63</v>
      </c>
      <c r="D665" t="s">
        <v>14</v>
      </c>
      <c r="E665" s="7">
        <v>2919</v>
      </c>
      <c r="F665" s="8">
        <v>14100</v>
      </c>
      <c r="G665" s="8">
        <f t="shared" si="40"/>
        <v>17625</v>
      </c>
      <c r="H665" s="8">
        <f t="shared" si="41"/>
        <v>51447375</v>
      </c>
      <c r="I665" s="8">
        <f t="shared" si="42"/>
        <v>41157900</v>
      </c>
      <c r="J665" s="8">
        <f t="shared" si="43"/>
        <v>10289475</v>
      </c>
      <c r="K665" s="9">
        <v>45924</v>
      </c>
      <c r="L665" s="10">
        <f>Table1[[#This Row],[Profit]]/Table1[[#This Row],[Sales]]</f>
        <v>0.2</v>
      </c>
    </row>
    <row r="666" spans="1:12">
      <c r="A666" t="s">
        <v>11</v>
      </c>
      <c r="B666" t="s">
        <v>39</v>
      </c>
      <c r="C666" t="s">
        <v>63</v>
      </c>
      <c r="D666" t="s">
        <v>14</v>
      </c>
      <c r="E666" s="7">
        <v>374</v>
      </c>
      <c r="F666" s="8">
        <v>10000</v>
      </c>
      <c r="G666" s="8">
        <f t="shared" si="40"/>
        <v>12500</v>
      </c>
      <c r="H666" s="8">
        <f t="shared" si="41"/>
        <v>4675000</v>
      </c>
      <c r="I666" s="8">
        <f t="shared" si="42"/>
        <v>3740000</v>
      </c>
      <c r="J666" s="8">
        <f t="shared" si="43"/>
        <v>935000</v>
      </c>
      <c r="K666" s="9">
        <v>45924</v>
      </c>
      <c r="L666" s="10">
        <f>Table1[[#This Row],[Profit]]/Table1[[#This Row],[Sales]]</f>
        <v>0.2</v>
      </c>
    </row>
    <row r="667" spans="1:12">
      <c r="A667" t="s">
        <v>11</v>
      </c>
      <c r="B667" t="s">
        <v>51</v>
      </c>
      <c r="C667" t="s">
        <v>63</v>
      </c>
      <c r="D667" t="s">
        <v>14</v>
      </c>
      <c r="E667" s="7">
        <v>2913</v>
      </c>
      <c r="F667" s="8">
        <v>13500</v>
      </c>
      <c r="G667" s="8">
        <f t="shared" si="40"/>
        <v>16875</v>
      </c>
      <c r="H667" s="8">
        <f t="shared" si="41"/>
        <v>49156875</v>
      </c>
      <c r="I667" s="8">
        <f t="shared" si="42"/>
        <v>39325500</v>
      </c>
      <c r="J667" s="8">
        <f t="shared" si="43"/>
        <v>9831375</v>
      </c>
      <c r="K667" s="9">
        <v>45926</v>
      </c>
      <c r="L667" s="10">
        <f>Table1[[#This Row],[Profit]]/Table1[[#This Row],[Sales]]</f>
        <v>0.2</v>
      </c>
    </row>
    <row r="668" spans="1:12">
      <c r="A668" t="s">
        <v>11</v>
      </c>
      <c r="B668" t="s">
        <v>51</v>
      </c>
      <c r="C668" t="s">
        <v>37</v>
      </c>
      <c r="D668" t="s">
        <v>14</v>
      </c>
      <c r="E668" s="7">
        <v>1663</v>
      </c>
      <c r="F668" s="8">
        <v>1700</v>
      </c>
      <c r="G668" s="8">
        <f t="shared" si="40"/>
        <v>2125</v>
      </c>
      <c r="H668" s="8">
        <f t="shared" si="41"/>
        <v>3533875</v>
      </c>
      <c r="I668" s="8">
        <f t="shared" si="42"/>
        <v>2827100</v>
      </c>
      <c r="J668" s="8">
        <f t="shared" si="43"/>
        <v>706775</v>
      </c>
      <c r="K668" s="9">
        <v>45927</v>
      </c>
      <c r="L668" s="10">
        <f>Table1[[#This Row],[Profit]]/Table1[[#This Row],[Sales]]</f>
        <v>0.2</v>
      </c>
    </row>
    <row r="669" spans="1:12">
      <c r="A669" t="s">
        <v>11</v>
      </c>
      <c r="B669" t="s">
        <v>51</v>
      </c>
      <c r="C669" t="s">
        <v>68</v>
      </c>
      <c r="D669" t="s">
        <v>14</v>
      </c>
      <c r="E669" s="7">
        <v>1275</v>
      </c>
      <c r="F669" s="8">
        <v>17000</v>
      </c>
      <c r="G669" s="8">
        <f t="shared" si="40"/>
        <v>21250</v>
      </c>
      <c r="H669" s="8">
        <f t="shared" si="41"/>
        <v>27093750</v>
      </c>
      <c r="I669" s="8">
        <f t="shared" si="42"/>
        <v>21675000</v>
      </c>
      <c r="J669" s="8">
        <f t="shared" si="43"/>
        <v>5418750</v>
      </c>
      <c r="K669" s="9">
        <v>45928</v>
      </c>
      <c r="L669" s="10">
        <f>Table1[[#This Row],[Profit]]/Table1[[#This Row],[Sales]]</f>
        <v>0.2</v>
      </c>
    </row>
    <row r="670" spans="1:12">
      <c r="A670" t="s">
        <v>11</v>
      </c>
      <c r="B670" t="s">
        <v>51</v>
      </c>
      <c r="C670" t="s">
        <v>79</v>
      </c>
      <c r="D670" t="s">
        <v>14</v>
      </c>
      <c r="E670" s="7">
        <v>265</v>
      </c>
      <c r="F670" s="8">
        <v>15900</v>
      </c>
      <c r="G670" s="8">
        <f t="shared" si="40"/>
        <v>19875</v>
      </c>
      <c r="H670" s="8">
        <f t="shared" si="41"/>
        <v>5266875</v>
      </c>
      <c r="I670" s="8">
        <f t="shared" si="42"/>
        <v>4213500</v>
      </c>
      <c r="J670" s="8">
        <f t="shared" si="43"/>
        <v>1053375</v>
      </c>
      <c r="K670" s="9">
        <v>45929</v>
      </c>
      <c r="L670" s="10">
        <f>Table1[[#This Row],[Profit]]/Table1[[#This Row],[Sales]]</f>
        <v>0.2</v>
      </c>
    </row>
    <row r="671" spans="1:12">
      <c r="A671" t="s">
        <v>11</v>
      </c>
      <c r="B671" t="s">
        <v>26</v>
      </c>
      <c r="C671" t="s">
        <v>79</v>
      </c>
      <c r="D671" t="s">
        <v>14</v>
      </c>
      <c r="E671" s="7">
        <v>2602</v>
      </c>
      <c r="F671" s="8">
        <v>4000</v>
      </c>
      <c r="G671" s="8">
        <f t="shared" si="40"/>
        <v>5000</v>
      </c>
      <c r="H671" s="8">
        <f t="shared" si="41"/>
        <v>13010000</v>
      </c>
      <c r="I671" s="8">
        <f t="shared" si="42"/>
        <v>10408000</v>
      </c>
      <c r="J671" s="8">
        <f t="shared" si="43"/>
        <v>2602000</v>
      </c>
      <c r="K671" s="9">
        <v>45932</v>
      </c>
      <c r="L671" s="10">
        <f>Table1[[#This Row],[Profit]]/Table1[[#This Row],[Sales]]</f>
        <v>0.2</v>
      </c>
    </row>
    <row r="672" spans="1:12">
      <c r="A672" t="s">
        <v>11</v>
      </c>
      <c r="B672" t="s">
        <v>77</v>
      </c>
      <c r="C672" t="s">
        <v>17</v>
      </c>
      <c r="D672" t="s">
        <v>14</v>
      </c>
      <c r="E672" s="7">
        <v>1942</v>
      </c>
      <c r="F672" s="8">
        <v>17200</v>
      </c>
      <c r="G672" s="8">
        <f t="shared" si="40"/>
        <v>21500</v>
      </c>
      <c r="H672" s="8">
        <f t="shared" si="41"/>
        <v>41753000</v>
      </c>
      <c r="I672" s="8">
        <f t="shared" si="42"/>
        <v>33402400</v>
      </c>
      <c r="J672" s="8">
        <f t="shared" si="43"/>
        <v>8350600</v>
      </c>
      <c r="K672" s="9">
        <v>45935</v>
      </c>
      <c r="L672" s="10">
        <f>Table1[[#This Row],[Profit]]/Table1[[#This Row],[Sales]]</f>
        <v>0.2</v>
      </c>
    </row>
    <row r="673" spans="1:12">
      <c r="A673" t="s">
        <v>11</v>
      </c>
      <c r="B673" t="s">
        <v>98</v>
      </c>
      <c r="C673" t="s">
        <v>13</v>
      </c>
      <c r="D673" t="s">
        <v>14</v>
      </c>
      <c r="E673" s="7">
        <v>1498</v>
      </c>
      <c r="F673" s="8">
        <v>9900</v>
      </c>
      <c r="G673" s="8">
        <f t="shared" si="40"/>
        <v>12375</v>
      </c>
      <c r="H673" s="8">
        <f t="shared" si="41"/>
        <v>18537750</v>
      </c>
      <c r="I673" s="8">
        <f t="shared" si="42"/>
        <v>14830200</v>
      </c>
      <c r="J673" s="8">
        <f t="shared" si="43"/>
        <v>3707550</v>
      </c>
      <c r="K673" s="9">
        <v>45938</v>
      </c>
      <c r="L673" s="10">
        <f>Table1[[#This Row],[Profit]]/Table1[[#This Row],[Sales]]</f>
        <v>0.2</v>
      </c>
    </row>
    <row r="674" spans="1:12">
      <c r="A674" t="s">
        <v>11</v>
      </c>
      <c r="B674" t="s">
        <v>97</v>
      </c>
      <c r="C674" t="s">
        <v>17</v>
      </c>
      <c r="D674" t="s">
        <v>14</v>
      </c>
      <c r="E674" s="7">
        <v>2548</v>
      </c>
      <c r="F674" s="8">
        <v>12600</v>
      </c>
      <c r="G674" s="8">
        <f t="shared" si="40"/>
        <v>15750</v>
      </c>
      <c r="H674" s="8">
        <f t="shared" si="41"/>
        <v>40131000</v>
      </c>
      <c r="I674" s="8">
        <f t="shared" si="42"/>
        <v>32104800</v>
      </c>
      <c r="J674" s="8">
        <f t="shared" si="43"/>
        <v>8026200</v>
      </c>
      <c r="K674" s="9">
        <v>45941</v>
      </c>
      <c r="L674" s="10">
        <f>Table1[[#This Row],[Profit]]/Table1[[#This Row],[Sales]]</f>
        <v>0.2</v>
      </c>
    </row>
    <row r="675" spans="1:12">
      <c r="A675" t="s">
        <v>11</v>
      </c>
      <c r="B675" t="s">
        <v>98</v>
      </c>
      <c r="C675" t="s">
        <v>31</v>
      </c>
      <c r="D675" t="s">
        <v>14</v>
      </c>
      <c r="E675" s="7">
        <v>1618</v>
      </c>
      <c r="F675" s="8">
        <v>3100</v>
      </c>
      <c r="G675" s="8">
        <f t="shared" si="40"/>
        <v>3875</v>
      </c>
      <c r="H675" s="8">
        <f t="shared" si="41"/>
        <v>6269750</v>
      </c>
      <c r="I675" s="8">
        <f t="shared" si="42"/>
        <v>5015800</v>
      </c>
      <c r="J675" s="8">
        <f t="shared" si="43"/>
        <v>1253950</v>
      </c>
      <c r="K675" s="9">
        <v>45942</v>
      </c>
      <c r="L675" s="10">
        <f>Table1[[#This Row],[Profit]]/Table1[[#This Row],[Sales]]</f>
        <v>0.2</v>
      </c>
    </row>
    <row r="676" spans="1:12">
      <c r="A676" t="s">
        <v>11</v>
      </c>
      <c r="B676" t="s">
        <v>77</v>
      </c>
      <c r="C676" t="s">
        <v>31</v>
      </c>
      <c r="D676" t="s">
        <v>14</v>
      </c>
      <c r="E676" s="7">
        <v>1771</v>
      </c>
      <c r="F676" s="8">
        <v>18600</v>
      </c>
      <c r="G676" s="8">
        <f t="shared" si="40"/>
        <v>23250</v>
      </c>
      <c r="H676" s="8">
        <f t="shared" si="41"/>
        <v>41175750</v>
      </c>
      <c r="I676" s="8">
        <f t="shared" si="42"/>
        <v>32940600</v>
      </c>
      <c r="J676" s="8">
        <f t="shared" si="43"/>
        <v>8235150</v>
      </c>
      <c r="K676" s="9">
        <v>45943</v>
      </c>
      <c r="L676" s="10">
        <f>Table1[[#This Row],[Profit]]/Table1[[#This Row],[Sales]]</f>
        <v>0.2</v>
      </c>
    </row>
    <row r="677" spans="1:12">
      <c r="A677" t="s">
        <v>11</v>
      </c>
      <c r="B677" t="s">
        <v>97</v>
      </c>
      <c r="C677" t="s">
        <v>79</v>
      </c>
      <c r="D677" t="s">
        <v>14</v>
      </c>
      <c r="E677" s="7">
        <v>619</v>
      </c>
      <c r="F677" s="8">
        <v>7600</v>
      </c>
      <c r="G677" s="8">
        <f t="shared" si="40"/>
        <v>9500</v>
      </c>
      <c r="H677" s="8">
        <f t="shared" si="41"/>
        <v>5880500</v>
      </c>
      <c r="I677" s="8">
        <f t="shared" si="42"/>
        <v>4704400</v>
      </c>
      <c r="J677" s="8">
        <f t="shared" si="43"/>
        <v>1176100</v>
      </c>
      <c r="K677" s="9">
        <v>45946</v>
      </c>
      <c r="L677" s="10">
        <f>Table1[[#This Row],[Profit]]/Table1[[#This Row],[Sales]]</f>
        <v>0.2</v>
      </c>
    </row>
    <row r="678" spans="1:12">
      <c r="A678" t="s">
        <v>11</v>
      </c>
      <c r="B678" t="s">
        <v>20</v>
      </c>
      <c r="C678" t="s">
        <v>79</v>
      </c>
      <c r="D678" t="s">
        <v>14</v>
      </c>
      <c r="E678" s="7">
        <v>1186</v>
      </c>
      <c r="F678" s="8">
        <v>10500</v>
      </c>
      <c r="G678" s="8">
        <f t="shared" si="40"/>
        <v>13125</v>
      </c>
      <c r="H678" s="8">
        <f t="shared" si="41"/>
        <v>15566250</v>
      </c>
      <c r="I678" s="8">
        <f t="shared" si="42"/>
        <v>12453000</v>
      </c>
      <c r="J678" s="8">
        <f t="shared" si="43"/>
        <v>3113250</v>
      </c>
      <c r="K678" s="9">
        <v>45947</v>
      </c>
      <c r="L678" s="10">
        <f>Table1[[#This Row],[Profit]]/Table1[[#This Row],[Sales]]</f>
        <v>0.2</v>
      </c>
    </row>
    <row r="679" spans="1:12">
      <c r="A679" t="s">
        <v>11</v>
      </c>
      <c r="B679" t="s">
        <v>20</v>
      </c>
      <c r="C679" t="s">
        <v>31</v>
      </c>
      <c r="D679" t="s">
        <v>14</v>
      </c>
      <c r="E679" s="7">
        <v>2161</v>
      </c>
      <c r="F679" s="8">
        <v>4000</v>
      </c>
      <c r="G679" s="8">
        <f t="shared" si="40"/>
        <v>5000</v>
      </c>
      <c r="H679" s="8">
        <f t="shared" si="41"/>
        <v>10805000</v>
      </c>
      <c r="I679" s="8">
        <f t="shared" si="42"/>
        <v>8644000</v>
      </c>
      <c r="J679" s="8">
        <f t="shared" si="43"/>
        <v>2161000</v>
      </c>
      <c r="K679" s="9">
        <v>45947</v>
      </c>
      <c r="L679" s="10">
        <f>Table1[[#This Row],[Profit]]/Table1[[#This Row],[Sales]]</f>
        <v>0.2</v>
      </c>
    </row>
    <row r="680" spans="1:12">
      <c r="A680" t="s">
        <v>11</v>
      </c>
      <c r="B680" t="s">
        <v>77</v>
      </c>
      <c r="C680" t="s">
        <v>37</v>
      </c>
      <c r="D680" t="s">
        <v>14</v>
      </c>
      <c r="E680" s="7">
        <v>1331</v>
      </c>
      <c r="F680" s="8">
        <v>4200</v>
      </c>
      <c r="G680" s="8">
        <f t="shared" si="40"/>
        <v>5250</v>
      </c>
      <c r="H680" s="8">
        <f t="shared" si="41"/>
        <v>6987750</v>
      </c>
      <c r="I680" s="8">
        <f t="shared" si="42"/>
        <v>5590200</v>
      </c>
      <c r="J680" s="8">
        <f t="shared" si="43"/>
        <v>1397550</v>
      </c>
      <c r="K680" s="9">
        <v>45948</v>
      </c>
      <c r="L680" s="10">
        <f>Table1[[#This Row],[Profit]]/Table1[[#This Row],[Sales]]</f>
        <v>0.2</v>
      </c>
    </row>
    <row r="681" spans="1:12">
      <c r="A681" t="s">
        <v>11</v>
      </c>
      <c r="B681" t="s">
        <v>51</v>
      </c>
      <c r="C681" t="s">
        <v>17</v>
      </c>
      <c r="D681" t="s">
        <v>14</v>
      </c>
      <c r="E681" s="7">
        <v>259</v>
      </c>
      <c r="F681" s="8">
        <v>24100</v>
      </c>
      <c r="G681" s="8">
        <f t="shared" si="40"/>
        <v>30125</v>
      </c>
      <c r="H681" s="8">
        <f t="shared" si="41"/>
        <v>7802375</v>
      </c>
      <c r="I681" s="8">
        <f t="shared" si="42"/>
        <v>6241900</v>
      </c>
      <c r="J681" s="8">
        <f t="shared" si="43"/>
        <v>1560475</v>
      </c>
      <c r="K681" s="9">
        <v>45950</v>
      </c>
      <c r="L681" s="10">
        <f>Table1[[#This Row],[Profit]]/Table1[[#This Row],[Sales]]</f>
        <v>0.2</v>
      </c>
    </row>
    <row r="682" spans="1:12">
      <c r="A682" t="s">
        <v>11</v>
      </c>
      <c r="B682" t="s">
        <v>98</v>
      </c>
      <c r="C682" t="s">
        <v>79</v>
      </c>
      <c r="D682" t="s">
        <v>14</v>
      </c>
      <c r="E682" s="7">
        <v>1163</v>
      </c>
      <c r="F682" s="8">
        <v>24500</v>
      </c>
      <c r="G682" s="8">
        <f t="shared" si="40"/>
        <v>30625</v>
      </c>
      <c r="H682" s="8">
        <f t="shared" si="41"/>
        <v>35616875</v>
      </c>
      <c r="I682" s="8">
        <f t="shared" si="42"/>
        <v>28493500</v>
      </c>
      <c r="J682" s="8">
        <f t="shared" si="43"/>
        <v>7123375</v>
      </c>
      <c r="K682" s="9">
        <v>45952</v>
      </c>
      <c r="L682" s="10">
        <f>Table1[[#This Row],[Profit]]/Table1[[#This Row],[Sales]]</f>
        <v>0.2</v>
      </c>
    </row>
    <row r="683" spans="1:12">
      <c r="A683" t="s">
        <v>11</v>
      </c>
      <c r="B683" t="s">
        <v>39</v>
      </c>
      <c r="C683" t="s">
        <v>31</v>
      </c>
      <c r="D683" t="s">
        <v>14</v>
      </c>
      <c r="E683" s="7">
        <v>1322</v>
      </c>
      <c r="F683" s="8">
        <v>12300</v>
      </c>
      <c r="G683" s="8">
        <f t="shared" si="40"/>
        <v>15375</v>
      </c>
      <c r="H683" s="8">
        <f t="shared" si="41"/>
        <v>20325750</v>
      </c>
      <c r="I683" s="8">
        <f t="shared" si="42"/>
        <v>16260600</v>
      </c>
      <c r="J683" s="8">
        <f t="shared" si="43"/>
        <v>4065150</v>
      </c>
      <c r="K683" s="9">
        <v>45954</v>
      </c>
      <c r="L683" s="10">
        <f>Table1[[#This Row],[Profit]]/Table1[[#This Row],[Sales]]</f>
        <v>0.2</v>
      </c>
    </row>
    <row r="684" spans="1:12">
      <c r="A684" t="s">
        <v>11</v>
      </c>
      <c r="B684" t="s">
        <v>26</v>
      </c>
      <c r="C684" t="s">
        <v>13</v>
      </c>
      <c r="D684" t="s">
        <v>14</v>
      </c>
      <c r="E684" s="7">
        <v>435</v>
      </c>
      <c r="F684" s="8">
        <v>8000</v>
      </c>
      <c r="G684" s="8">
        <f t="shared" si="40"/>
        <v>10000</v>
      </c>
      <c r="H684" s="8">
        <f t="shared" si="41"/>
        <v>4350000</v>
      </c>
      <c r="I684" s="8">
        <f t="shared" si="42"/>
        <v>3480000</v>
      </c>
      <c r="J684" s="8">
        <f t="shared" si="43"/>
        <v>870000</v>
      </c>
      <c r="K684" s="9">
        <v>45958</v>
      </c>
      <c r="L684" s="10">
        <f>Table1[[#This Row],[Profit]]/Table1[[#This Row],[Sales]]</f>
        <v>0.2</v>
      </c>
    </row>
    <row r="685" spans="1:12">
      <c r="A685" t="s">
        <v>11</v>
      </c>
      <c r="B685" t="s">
        <v>97</v>
      </c>
      <c r="C685" t="s">
        <v>31</v>
      </c>
      <c r="D685" t="s">
        <v>14</v>
      </c>
      <c r="E685" s="7">
        <v>1089</v>
      </c>
      <c r="F685" s="8">
        <v>23700</v>
      </c>
      <c r="G685" s="8">
        <f t="shared" si="40"/>
        <v>29625</v>
      </c>
      <c r="H685" s="8">
        <f t="shared" si="41"/>
        <v>32261625</v>
      </c>
      <c r="I685" s="8">
        <f t="shared" si="42"/>
        <v>25809300</v>
      </c>
      <c r="J685" s="8">
        <f t="shared" si="43"/>
        <v>6452325</v>
      </c>
      <c r="K685" s="9">
        <v>45959</v>
      </c>
      <c r="L685" s="10">
        <f>Table1[[#This Row],[Profit]]/Table1[[#This Row],[Sales]]</f>
        <v>0.2</v>
      </c>
    </row>
    <row r="686" spans="1:12">
      <c r="A686" t="s">
        <v>11</v>
      </c>
      <c r="B686" t="s">
        <v>36</v>
      </c>
      <c r="C686" t="s">
        <v>68</v>
      </c>
      <c r="D686" t="s">
        <v>14</v>
      </c>
      <c r="E686" s="7">
        <v>2162</v>
      </c>
      <c r="F686" s="8">
        <v>3600</v>
      </c>
      <c r="G686" s="8">
        <f t="shared" si="40"/>
        <v>4500</v>
      </c>
      <c r="H686" s="8">
        <f t="shared" si="41"/>
        <v>9729000</v>
      </c>
      <c r="I686" s="8">
        <f t="shared" si="42"/>
        <v>7783200</v>
      </c>
      <c r="J686" s="8">
        <f t="shared" si="43"/>
        <v>1945800</v>
      </c>
      <c r="K686" s="9">
        <v>45961</v>
      </c>
      <c r="L686" s="10">
        <f>Table1[[#This Row],[Profit]]/Table1[[#This Row],[Sales]]</f>
        <v>0.2</v>
      </c>
    </row>
    <row r="687" spans="1:12">
      <c r="A687" t="s">
        <v>11</v>
      </c>
      <c r="B687" t="s">
        <v>36</v>
      </c>
      <c r="C687" t="s">
        <v>13</v>
      </c>
      <c r="D687" t="s">
        <v>14</v>
      </c>
      <c r="E687" s="7">
        <v>2656</v>
      </c>
      <c r="F687" s="8">
        <v>24100</v>
      </c>
      <c r="G687" s="8">
        <f t="shared" si="40"/>
        <v>30125</v>
      </c>
      <c r="H687" s="8">
        <f t="shared" si="41"/>
        <v>80012000</v>
      </c>
      <c r="I687" s="8">
        <f t="shared" si="42"/>
        <v>64009600</v>
      </c>
      <c r="J687" s="8">
        <f t="shared" si="43"/>
        <v>16002400</v>
      </c>
      <c r="K687" s="9">
        <v>45962</v>
      </c>
      <c r="L687" s="10">
        <f>Table1[[#This Row],[Profit]]/Table1[[#This Row],[Sales]]</f>
        <v>0.2</v>
      </c>
    </row>
    <row r="688" spans="1:12">
      <c r="A688" t="s">
        <v>11</v>
      </c>
      <c r="B688" t="s">
        <v>39</v>
      </c>
      <c r="C688" t="s">
        <v>13</v>
      </c>
      <c r="D688" t="s">
        <v>14</v>
      </c>
      <c r="E688" s="7">
        <v>917</v>
      </c>
      <c r="F688" s="8">
        <v>6500</v>
      </c>
      <c r="G688" s="8">
        <f t="shared" si="40"/>
        <v>8125</v>
      </c>
      <c r="H688" s="8">
        <f t="shared" si="41"/>
        <v>7450625</v>
      </c>
      <c r="I688" s="8">
        <f t="shared" si="42"/>
        <v>5960500</v>
      </c>
      <c r="J688" s="8">
        <f t="shared" si="43"/>
        <v>1490125</v>
      </c>
      <c r="K688" s="9">
        <v>45963</v>
      </c>
      <c r="L688" s="10">
        <f>Table1[[#This Row],[Profit]]/Table1[[#This Row],[Sales]]</f>
        <v>0.2</v>
      </c>
    </row>
    <row r="689" spans="1:12">
      <c r="A689" t="s">
        <v>11</v>
      </c>
      <c r="B689" t="s">
        <v>26</v>
      </c>
      <c r="C689" t="s">
        <v>63</v>
      </c>
      <c r="D689" t="s">
        <v>14</v>
      </c>
      <c r="E689" s="7">
        <v>629</v>
      </c>
      <c r="F689" s="8">
        <v>9800</v>
      </c>
      <c r="G689" s="8">
        <f t="shared" si="40"/>
        <v>12250</v>
      </c>
      <c r="H689" s="8">
        <f t="shared" si="41"/>
        <v>7705250</v>
      </c>
      <c r="I689" s="8">
        <f t="shared" si="42"/>
        <v>6164200</v>
      </c>
      <c r="J689" s="8">
        <f t="shared" si="43"/>
        <v>1541050</v>
      </c>
      <c r="K689" s="9">
        <v>45965</v>
      </c>
      <c r="L689" s="10">
        <f>Table1[[#This Row],[Profit]]/Table1[[#This Row],[Sales]]</f>
        <v>0.2</v>
      </c>
    </row>
    <row r="690" spans="1:12">
      <c r="A690" t="s">
        <v>11</v>
      </c>
      <c r="B690" t="s">
        <v>51</v>
      </c>
      <c r="C690" t="s">
        <v>31</v>
      </c>
      <c r="D690" t="s">
        <v>14</v>
      </c>
      <c r="E690" s="7">
        <v>1034</v>
      </c>
      <c r="F690" s="8">
        <v>12500</v>
      </c>
      <c r="G690" s="8">
        <f t="shared" si="40"/>
        <v>15625</v>
      </c>
      <c r="H690" s="8">
        <f t="shared" si="41"/>
        <v>16156250</v>
      </c>
      <c r="I690" s="8">
        <f t="shared" si="42"/>
        <v>12925000</v>
      </c>
      <c r="J690" s="8">
        <f t="shared" si="43"/>
        <v>3231250</v>
      </c>
      <c r="K690" s="9">
        <v>45967</v>
      </c>
      <c r="L690" s="10">
        <f>Table1[[#This Row],[Profit]]/Table1[[#This Row],[Sales]]</f>
        <v>0.2</v>
      </c>
    </row>
    <row r="691" spans="1:12">
      <c r="A691" t="s">
        <v>11</v>
      </c>
      <c r="B691" t="s">
        <v>98</v>
      </c>
      <c r="C691" t="s">
        <v>63</v>
      </c>
      <c r="D691" t="s">
        <v>14</v>
      </c>
      <c r="E691" s="7">
        <v>765</v>
      </c>
      <c r="F691" s="8">
        <v>7100</v>
      </c>
      <c r="G691" s="8">
        <f t="shared" si="40"/>
        <v>8875</v>
      </c>
      <c r="H691" s="8">
        <f t="shared" si="41"/>
        <v>6789375</v>
      </c>
      <c r="I691" s="8">
        <f t="shared" si="42"/>
        <v>5431500</v>
      </c>
      <c r="J691" s="8">
        <f t="shared" si="43"/>
        <v>1357875</v>
      </c>
      <c r="K691" s="9">
        <v>45969</v>
      </c>
      <c r="L691" s="10">
        <f>Table1[[#This Row],[Profit]]/Table1[[#This Row],[Sales]]</f>
        <v>0.2</v>
      </c>
    </row>
    <row r="692" spans="1:12">
      <c r="A692" t="s">
        <v>11</v>
      </c>
      <c r="B692" t="s">
        <v>88</v>
      </c>
      <c r="C692" t="s">
        <v>31</v>
      </c>
      <c r="D692" t="s">
        <v>14</v>
      </c>
      <c r="E692" s="7">
        <v>925</v>
      </c>
      <c r="F692" s="8">
        <v>22800</v>
      </c>
      <c r="G692" s="8">
        <f t="shared" si="40"/>
        <v>28500</v>
      </c>
      <c r="H692" s="8">
        <f t="shared" si="41"/>
        <v>26362500</v>
      </c>
      <c r="I692" s="8">
        <f t="shared" si="42"/>
        <v>21090000</v>
      </c>
      <c r="J692" s="8">
        <f t="shared" si="43"/>
        <v>5272500</v>
      </c>
      <c r="K692" s="9">
        <v>45970</v>
      </c>
      <c r="L692" s="10">
        <f>Table1[[#This Row],[Profit]]/Table1[[#This Row],[Sales]]</f>
        <v>0.2</v>
      </c>
    </row>
    <row r="693" spans="1:12">
      <c r="A693" t="s">
        <v>11</v>
      </c>
      <c r="B693" t="s">
        <v>36</v>
      </c>
      <c r="C693" t="s">
        <v>68</v>
      </c>
      <c r="D693" t="s">
        <v>14</v>
      </c>
      <c r="E693" s="7">
        <v>2949</v>
      </c>
      <c r="F693" s="8">
        <v>6700</v>
      </c>
      <c r="G693" s="8">
        <f t="shared" si="40"/>
        <v>8375</v>
      </c>
      <c r="H693" s="8">
        <f t="shared" si="41"/>
        <v>24697875</v>
      </c>
      <c r="I693" s="8">
        <f t="shared" si="42"/>
        <v>19758300</v>
      </c>
      <c r="J693" s="8">
        <f t="shared" si="43"/>
        <v>4939575</v>
      </c>
      <c r="K693" s="9">
        <v>45970</v>
      </c>
      <c r="L693" s="10">
        <f>Table1[[#This Row],[Profit]]/Table1[[#This Row],[Sales]]</f>
        <v>0.2</v>
      </c>
    </row>
    <row r="694" spans="1:12">
      <c r="A694" t="s">
        <v>11</v>
      </c>
      <c r="B694" t="s">
        <v>77</v>
      </c>
      <c r="C694" t="s">
        <v>17</v>
      </c>
      <c r="D694" t="s">
        <v>14</v>
      </c>
      <c r="E694" s="7">
        <v>2341</v>
      </c>
      <c r="F694" s="8">
        <v>22900</v>
      </c>
      <c r="G694" s="8">
        <f t="shared" si="40"/>
        <v>28625</v>
      </c>
      <c r="H694" s="8">
        <f t="shared" si="41"/>
        <v>67011125</v>
      </c>
      <c r="I694" s="8">
        <f t="shared" si="42"/>
        <v>53608900</v>
      </c>
      <c r="J694" s="8">
        <f t="shared" si="43"/>
        <v>13402225</v>
      </c>
      <c r="K694" s="9">
        <v>45974</v>
      </c>
      <c r="L694" s="10">
        <f>Table1[[#This Row],[Profit]]/Table1[[#This Row],[Sales]]</f>
        <v>0.2</v>
      </c>
    </row>
    <row r="695" spans="1:12">
      <c r="A695" t="s">
        <v>11</v>
      </c>
      <c r="B695" t="s">
        <v>20</v>
      </c>
      <c r="C695" t="s">
        <v>17</v>
      </c>
      <c r="D695" t="s">
        <v>14</v>
      </c>
      <c r="E695" s="7">
        <v>202</v>
      </c>
      <c r="F695" s="8">
        <v>6500</v>
      </c>
      <c r="G695" s="8">
        <f t="shared" si="40"/>
        <v>8125</v>
      </c>
      <c r="H695" s="8">
        <f t="shared" si="41"/>
        <v>1641250</v>
      </c>
      <c r="I695" s="8">
        <f t="shared" si="42"/>
        <v>1313000</v>
      </c>
      <c r="J695" s="8">
        <f t="shared" si="43"/>
        <v>328250</v>
      </c>
      <c r="K695" s="9">
        <v>45974</v>
      </c>
      <c r="L695" s="10">
        <f>Table1[[#This Row],[Profit]]/Table1[[#This Row],[Sales]]</f>
        <v>0.2</v>
      </c>
    </row>
    <row r="696" spans="1:12">
      <c r="A696" t="s">
        <v>11</v>
      </c>
      <c r="B696" t="s">
        <v>88</v>
      </c>
      <c r="C696" t="s">
        <v>27</v>
      </c>
      <c r="D696" t="s">
        <v>14</v>
      </c>
      <c r="E696" s="7">
        <v>785</v>
      </c>
      <c r="F696" s="8">
        <v>7500</v>
      </c>
      <c r="G696" s="8">
        <f t="shared" si="40"/>
        <v>9375</v>
      </c>
      <c r="H696" s="8">
        <f t="shared" si="41"/>
        <v>7359375</v>
      </c>
      <c r="I696" s="8">
        <f t="shared" si="42"/>
        <v>5887500</v>
      </c>
      <c r="J696" s="8">
        <f t="shared" si="43"/>
        <v>1471875</v>
      </c>
      <c r="K696" s="9">
        <v>45974</v>
      </c>
      <c r="L696" s="10">
        <f>Table1[[#This Row],[Profit]]/Table1[[#This Row],[Sales]]</f>
        <v>0.2</v>
      </c>
    </row>
    <row r="697" spans="1:12">
      <c r="A697" t="s">
        <v>11</v>
      </c>
      <c r="B697" t="s">
        <v>98</v>
      </c>
      <c r="C697" t="s">
        <v>31</v>
      </c>
      <c r="D697" t="s">
        <v>14</v>
      </c>
      <c r="E697" s="7">
        <v>1214</v>
      </c>
      <c r="F697" s="8">
        <v>13900</v>
      </c>
      <c r="G697" s="8">
        <f t="shared" si="40"/>
        <v>17375</v>
      </c>
      <c r="H697" s="8">
        <f t="shared" si="41"/>
        <v>21093250</v>
      </c>
      <c r="I697" s="8">
        <f t="shared" si="42"/>
        <v>16874600</v>
      </c>
      <c r="J697" s="8">
        <f t="shared" si="43"/>
        <v>4218650</v>
      </c>
      <c r="K697" s="9">
        <v>45974</v>
      </c>
      <c r="L697" s="10">
        <f>Table1[[#This Row],[Profit]]/Table1[[#This Row],[Sales]]</f>
        <v>0.2</v>
      </c>
    </row>
    <row r="698" spans="1:12">
      <c r="A698" t="s">
        <v>11</v>
      </c>
      <c r="B698" t="s">
        <v>77</v>
      </c>
      <c r="C698" t="s">
        <v>13</v>
      </c>
      <c r="D698" t="s">
        <v>14</v>
      </c>
      <c r="E698" s="7">
        <v>1396</v>
      </c>
      <c r="F698" s="8">
        <v>11900</v>
      </c>
      <c r="G698" s="8">
        <f t="shared" si="40"/>
        <v>14875</v>
      </c>
      <c r="H698" s="8">
        <f t="shared" si="41"/>
        <v>20765500</v>
      </c>
      <c r="I698" s="8">
        <f t="shared" si="42"/>
        <v>16612400</v>
      </c>
      <c r="J698" s="8">
        <f t="shared" si="43"/>
        <v>4153100</v>
      </c>
      <c r="K698" s="9">
        <v>45975</v>
      </c>
      <c r="L698" s="10">
        <f>Table1[[#This Row],[Profit]]/Table1[[#This Row],[Sales]]</f>
        <v>0.2</v>
      </c>
    </row>
    <row r="699" spans="1:12">
      <c r="A699" t="s">
        <v>11</v>
      </c>
      <c r="B699" t="s">
        <v>98</v>
      </c>
      <c r="C699" t="s">
        <v>79</v>
      </c>
      <c r="D699" t="s">
        <v>14</v>
      </c>
      <c r="E699" s="7">
        <v>1159</v>
      </c>
      <c r="F699" s="8">
        <v>15400</v>
      </c>
      <c r="G699" s="8">
        <f t="shared" si="40"/>
        <v>19250</v>
      </c>
      <c r="H699" s="8">
        <f t="shared" si="41"/>
        <v>22310750</v>
      </c>
      <c r="I699" s="8">
        <f t="shared" si="42"/>
        <v>17848600</v>
      </c>
      <c r="J699" s="8">
        <f t="shared" si="43"/>
        <v>4462150</v>
      </c>
      <c r="K699" s="9">
        <v>45975</v>
      </c>
      <c r="L699" s="10">
        <f>Table1[[#This Row],[Profit]]/Table1[[#This Row],[Sales]]</f>
        <v>0.2</v>
      </c>
    </row>
    <row r="700" spans="1:12">
      <c r="A700" t="s">
        <v>11</v>
      </c>
      <c r="B700" t="s">
        <v>62</v>
      </c>
      <c r="C700" t="s">
        <v>13</v>
      </c>
      <c r="D700" t="s">
        <v>14</v>
      </c>
      <c r="E700" s="7">
        <v>2629</v>
      </c>
      <c r="F700" s="8">
        <v>8700</v>
      </c>
      <c r="G700" s="8">
        <f t="shared" si="40"/>
        <v>10875</v>
      </c>
      <c r="H700" s="8">
        <f t="shared" si="41"/>
        <v>28590375</v>
      </c>
      <c r="I700" s="8">
        <f t="shared" si="42"/>
        <v>22872300</v>
      </c>
      <c r="J700" s="8">
        <f t="shared" si="43"/>
        <v>5718075</v>
      </c>
      <c r="K700" s="9">
        <v>45977</v>
      </c>
      <c r="L700" s="10">
        <f>Table1[[#This Row],[Profit]]/Table1[[#This Row],[Sales]]</f>
        <v>0.2</v>
      </c>
    </row>
    <row r="701" spans="1:12">
      <c r="A701" t="s">
        <v>11</v>
      </c>
      <c r="B701" t="s">
        <v>97</v>
      </c>
      <c r="C701" t="s">
        <v>13</v>
      </c>
      <c r="D701" t="s">
        <v>14</v>
      </c>
      <c r="E701" s="7">
        <v>1896</v>
      </c>
      <c r="F701" s="8">
        <v>9900</v>
      </c>
      <c r="G701" s="8">
        <f t="shared" si="40"/>
        <v>12375</v>
      </c>
      <c r="H701" s="8">
        <f t="shared" si="41"/>
        <v>23463000</v>
      </c>
      <c r="I701" s="8">
        <f t="shared" si="42"/>
        <v>18770400</v>
      </c>
      <c r="J701" s="8">
        <f t="shared" si="43"/>
        <v>4692600</v>
      </c>
      <c r="K701" s="9">
        <v>45980</v>
      </c>
      <c r="L701" s="10">
        <f>Table1[[#This Row],[Profit]]/Table1[[#This Row],[Sales]]</f>
        <v>0.2</v>
      </c>
    </row>
    <row r="702" spans="1:12">
      <c r="A702" t="s">
        <v>11</v>
      </c>
      <c r="B702" t="s">
        <v>97</v>
      </c>
      <c r="C702" t="s">
        <v>21</v>
      </c>
      <c r="D702" t="s">
        <v>14</v>
      </c>
      <c r="E702" s="7">
        <v>1006</v>
      </c>
      <c r="F702" s="8">
        <v>11200</v>
      </c>
      <c r="G702" s="8">
        <f t="shared" si="40"/>
        <v>14000</v>
      </c>
      <c r="H702" s="8">
        <f t="shared" si="41"/>
        <v>14084000</v>
      </c>
      <c r="I702" s="8">
        <f t="shared" si="42"/>
        <v>11267200</v>
      </c>
      <c r="J702" s="8">
        <f t="shared" si="43"/>
        <v>2816800</v>
      </c>
      <c r="K702" s="9">
        <v>45983</v>
      </c>
      <c r="L702" s="10">
        <f>Table1[[#This Row],[Profit]]/Table1[[#This Row],[Sales]]</f>
        <v>0.2</v>
      </c>
    </row>
    <row r="703" spans="1:12">
      <c r="A703" t="s">
        <v>11</v>
      </c>
      <c r="B703" t="s">
        <v>62</v>
      </c>
      <c r="C703" t="s">
        <v>79</v>
      </c>
      <c r="D703" t="s">
        <v>14</v>
      </c>
      <c r="E703" s="7">
        <v>524</v>
      </c>
      <c r="F703" s="8">
        <v>3200</v>
      </c>
      <c r="G703" s="8">
        <f t="shared" si="40"/>
        <v>4000</v>
      </c>
      <c r="H703" s="8">
        <f t="shared" si="41"/>
        <v>2096000</v>
      </c>
      <c r="I703" s="8">
        <f t="shared" si="42"/>
        <v>1676800</v>
      </c>
      <c r="J703" s="8">
        <f t="shared" si="43"/>
        <v>419200</v>
      </c>
      <c r="K703" s="9">
        <v>45985</v>
      </c>
      <c r="L703" s="10">
        <f>Table1[[#This Row],[Profit]]/Table1[[#This Row],[Sales]]</f>
        <v>0.2</v>
      </c>
    </row>
    <row r="704" spans="1:12">
      <c r="A704" t="s">
        <v>11</v>
      </c>
      <c r="B704" t="s">
        <v>26</v>
      </c>
      <c r="C704" t="s">
        <v>31</v>
      </c>
      <c r="D704" t="s">
        <v>14</v>
      </c>
      <c r="E704" s="7">
        <v>972</v>
      </c>
      <c r="F704" s="8">
        <v>15100</v>
      </c>
      <c r="G704" s="8">
        <f t="shared" si="40"/>
        <v>18875</v>
      </c>
      <c r="H704" s="8">
        <f t="shared" si="41"/>
        <v>18346500</v>
      </c>
      <c r="I704" s="8">
        <f t="shared" si="42"/>
        <v>14677200</v>
      </c>
      <c r="J704" s="8">
        <f t="shared" si="43"/>
        <v>3669300</v>
      </c>
      <c r="K704" s="9">
        <v>45986</v>
      </c>
      <c r="L704" s="10">
        <f>Table1[[#This Row],[Profit]]/Table1[[#This Row],[Sales]]</f>
        <v>0.2</v>
      </c>
    </row>
    <row r="705" spans="1:12">
      <c r="A705" t="s">
        <v>11</v>
      </c>
      <c r="B705" t="s">
        <v>20</v>
      </c>
      <c r="C705" t="s">
        <v>79</v>
      </c>
      <c r="D705" t="s">
        <v>14</v>
      </c>
      <c r="E705" s="7">
        <v>360</v>
      </c>
      <c r="F705" s="8">
        <v>16100</v>
      </c>
      <c r="G705" s="8">
        <f t="shared" si="40"/>
        <v>20125</v>
      </c>
      <c r="H705" s="8">
        <f t="shared" si="41"/>
        <v>7245000</v>
      </c>
      <c r="I705" s="8">
        <f t="shared" si="42"/>
        <v>5796000</v>
      </c>
      <c r="J705" s="8">
        <f t="shared" si="43"/>
        <v>1449000</v>
      </c>
      <c r="K705" s="9">
        <v>45986</v>
      </c>
      <c r="L705" s="10">
        <f>Table1[[#This Row],[Profit]]/Table1[[#This Row],[Sales]]</f>
        <v>0.2</v>
      </c>
    </row>
    <row r="706" spans="1:12">
      <c r="A706" t="s">
        <v>11</v>
      </c>
      <c r="B706" t="s">
        <v>62</v>
      </c>
      <c r="C706" t="s">
        <v>21</v>
      </c>
      <c r="D706" t="s">
        <v>14</v>
      </c>
      <c r="E706" s="7">
        <v>2464</v>
      </c>
      <c r="F706" s="8">
        <v>21300</v>
      </c>
      <c r="G706" s="8">
        <f t="shared" ref="G706:G769" si="44">ROUNDDOWN(F706/100,0)*100*1.25</f>
        <v>26625</v>
      </c>
      <c r="H706" s="8">
        <f t="shared" ref="H706:H769" si="45">E706*G706</f>
        <v>65604000</v>
      </c>
      <c r="I706" s="8">
        <f t="shared" ref="I706:I769" si="46">E706*F706</f>
        <v>52483200</v>
      </c>
      <c r="J706" s="8">
        <f t="shared" ref="J706:J769" si="47">H706-I706</f>
        <v>13120800</v>
      </c>
      <c r="K706" s="9">
        <v>45986</v>
      </c>
      <c r="L706" s="10">
        <f>Table1[[#This Row],[Profit]]/Table1[[#This Row],[Sales]]</f>
        <v>0.2</v>
      </c>
    </row>
    <row r="707" spans="1:12">
      <c r="A707" t="s">
        <v>11</v>
      </c>
      <c r="B707" t="s">
        <v>88</v>
      </c>
      <c r="C707" t="s">
        <v>17</v>
      </c>
      <c r="D707" t="s">
        <v>14</v>
      </c>
      <c r="E707" s="7">
        <v>2509</v>
      </c>
      <c r="F707" s="8">
        <v>23700</v>
      </c>
      <c r="G707" s="8">
        <f t="shared" si="44"/>
        <v>29625</v>
      </c>
      <c r="H707" s="8">
        <f t="shared" si="45"/>
        <v>74329125</v>
      </c>
      <c r="I707" s="8">
        <f t="shared" si="46"/>
        <v>59463300</v>
      </c>
      <c r="J707" s="8">
        <f t="shared" si="47"/>
        <v>14865825</v>
      </c>
      <c r="K707" s="9">
        <v>45988</v>
      </c>
      <c r="L707" s="10">
        <f>Table1[[#This Row],[Profit]]/Table1[[#This Row],[Sales]]</f>
        <v>0.2</v>
      </c>
    </row>
    <row r="708" spans="1:12">
      <c r="A708" t="s">
        <v>11</v>
      </c>
      <c r="B708" t="s">
        <v>26</v>
      </c>
      <c r="C708" t="s">
        <v>37</v>
      </c>
      <c r="D708" t="s">
        <v>14</v>
      </c>
      <c r="E708" s="7">
        <v>512</v>
      </c>
      <c r="F708" s="8">
        <v>8900</v>
      </c>
      <c r="G708" s="8">
        <f t="shared" si="44"/>
        <v>11125</v>
      </c>
      <c r="H708" s="8">
        <f t="shared" si="45"/>
        <v>5696000</v>
      </c>
      <c r="I708" s="8">
        <f t="shared" si="46"/>
        <v>4556800</v>
      </c>
      <c r="J708" s="8">
        <f t="shared" si="47"/>
        <v>1139200</v>
      </c>
      <c r="K708" s="9">
        <v>45989</v>
      </c>
      <c r="L708" s="10">
        <f>Table1[[#This Row],[Profit]]/Table1[[#This Row],[Sales]]</f>
        <v>0.2</v>
      </c>
    </row>
    <row r="709" spans="1:12">
      <c r="A709" t="s">
        <v>11</v>
      </c>
      <c r="B709" t="s">
        <v>20</v>
      </c>
      <c r="C709" t="s">
        <v>17</v>
      </c>
      <c r="D709" t="s">
        <v>14</v>
      </c>
      <c r="E709" s="7">
        <v>2354</v>
      </c>
      <c r="F709" s="8">
        <v>23800</v>
      </c>
      <c r="G709" s="8">
        <f t="shared" si="44"/>
        <v>29750</v>
      </c>
      <c r="H709" s="8">
        <f t="shared" si="45"/>
        <v>70031500</v>
      </c>
      <c r="I709" s="8">
        <f t="shared" si="46"/>
        <v>56025200</v>
      </c>
      <c r="J709" s="8">
        <f t="shared" si="47"/>
        <v>14006300</v>
      </c>
      <c r="K709" s="9">
        <v>45989</v>
      </c>
      <c r="L709" s="10">
        <f>Table1[[#This Row],[Profit]]/Table1[[#This Row],[Sales]]</f>
        <v>0.2</v>
      </c>
    </row>
    <row r="710" spans="1:12">
      <c r="A710" t="s">
        <v>11</v>
      </c>
      <c r="B710" t="s">
        <v>20</v>
      </c>
      <c r="C710" t="s">
        <v>13</v>
      </c>
      <c r="D710" t="s">
        <v>14</v>
      </c>
      <c r="E710" s="7">
        <v>2909</v>
      </c>
      <c r="F710" s="8">
        <v>17700</v>
      </c>
      <c r="G710" s="8">
        <f t="shared" si="44"/>
        <v>22125</v>
      </c>
      <c r="H710" s="8">
        <f t="shared" si="45"/>
        <v>64361625</v>
      </c>
      <c r="I710" s="8">
        <f t="shared" si="46"/>
        <v>51489300</v>
      </c>
      <c r="J710" s="8">
        <f t="shared" si="47"/>
        <v>12872325</v>
      </c>
      <c r="K710" s="9">
        <v>45990</v>
      </c>
      <c r="L710" s="10">
        <f>Table1[[#This Row],[Profit]]/Table1[[#This Row],[Sales]]</f>
        <v>0.2</v>
      </c>
    </row>
    <row r="711" spans="1:12">
      <c r="A711" t="s">
        <v>11</v>
      </c>
      <c r="B711" t="s">
        <v>98</v>
      </c>
      <c r="C711" t="s">
        <v>63</v>
      </c>
      <c r="D711" t="s">
        <v>14</v>
      </c>
      <c r="E711" s="7">
        <v>2507</v>
      </c>
      <c r="F711" s="8">
        <v>21400</v>
      </c>
      <c r="G711" s="8">
        <f t="shared" si="44"/>
        <v>26750</v>
      </c>
      <c r="H711" s="8">
        <f t="shared" si="45"/>
        <v>67062250</v>
      </c>
      <c r="I711" s="8">
        <f t="shared" si="46"/>
        <v>53649800</v>
      </c>
      <c r="J711" s="8">
        <f t="shared" si="47"/>
        <v>13412450</v>
      </c>
      <c r="K711" s="9">
        <v>45992</v>
      </c>
      <c r="L711" s="10">
        <f>Table1[[#This Row],[Profit]]/Table1[[#This Row],[Sales]]</f>
        <v>0.2</v>
      </c>
    </row>
    <row r="712" spans="1:12">
      <c r="A712" t="s">
        <v>11</v>
      </c>
      <c r="B712" t="s">
        <v>26</v>
      </c>
      <c r="C712" t="s">
        <v>21</v>
      </c>
      <c r="D712" t="s">
        <v>14</v>
      </c>
      <c r="E712" s="7">
        <v>183</v>
      </c>
      <c r="F712" s="8">
        <v>23800</v>
      </c>
      <c r="G712" s="8">
        <f t="shared" si="44"/>
        <v>29750</v>
      </c>
      <c r="H712" s="8">
        <f t="shared" si="45"/>
        <v>5444250</v>
      </c>
      <c r="I712" s="8">
        <f t="shared" si="46"/>
        <v>4355400</v>
      </c>
      <c r="J712" s="8">
        <f t="shared" si="47"/>
        <v>1088850</v>
      </c>
      <c r="K712" s="9">
        <v>45996</v>
      </c>
      <c r="L712" s="10">
        <f>Table1[[#This Row],[Profit]]/Table1[[#This Row],[Sales]]</f>
        <v>0.2</v>
      </c>
    </row>
    <row r="713" spans="1:12">
      <c r="A713" t="s">
        <v>11</v>
      </c>
      <c r="B713" t="s">
        <v>77</v>
      </c>
      <c r="C713" t="s">
        <v>31</v>
      </c>
      <c r="D713" t="s">
        <v>14</v>
      </c>
      <c r="E713" s="7">
        <v>2300</v>
      </c>
      <c r="F713" s="8">
        <v>6100</v>
      </c>
      <c r="G713" s="8">
        <f t="shared" si="44"/>
        <v>7625</v>
      </c>
      <c r="H713" s="8">
        <f t="shared" si="45"/>
        <v>17537500</v>
      </c>
      <c r="I713" s="8">
        <f t="shared" si="46"/>
        <v>14030000</v>
      </c>
      <c r="J713" s="8">
        <f t="shared" si="47"/>
        <v>3507500</v>
      </c>
      <c r="K713" s="9">
        <v>45998</v>
      </c>
      <c r="L713" s="10">
        <f>Table1[[#This Row],[Profit]]/Table1[[#This Row],[Sales]]</f>
        <v>0.2</v>
      </c>
    </row>
    <row r="714" spans="1:12">
      <c r="A714" t="s">
        <v>11</v>
      </c>
      <c r="B714" t="s">
        <v>97</v>
      </c>
      <c r="C714" t="s">
        <v>17</v>
      </c>
      <c r="D714" t="s">
        <v>14</v>
      </c>
      <c r="E714" s="7">
        <v>1332</v>
      </c>
      <c r="F714" s="8">
        <v>22700</v>
      </c>
      <c r="G714" s="8">
        <f t="shared" si="44"/>
        <v>28375</v>
      </c>
      <c r="H714" s="8">
        <f t="shared" si="45"/>
        <v>37795500</v>
      </c>
      <c r="I714" s="8">
        <f t="shared" si="46"/>
        <v>30236400</v>
      </c>
      <c r="J714" s="8">
        <f t="shared" si="47"/>
        <v>7559100</v>
      </c>
      <c r="K714" s="9">
        <v>45999</v>
      </c>
      <c r="L714" s="10">
        <f>Table1[[#This Row],[Profit]]/Table1[[#This Row],[Sales]]</f>
        <v>0.2</v>
      </c>
    </row>
    <row r="715" spans="1:12">
      <c r="A715" t="s">
        <v>11</v>
      </c>
      <c r="B715" t="s">
        <v>36</v>
      </c>
      <c r="C715" t="s">
        <v>63</v>
      </c>
      <c r="D715" t="s">
        <v>14</v>
      </c>
      <c r="E715" s="7">
        <v>1107</v>
      </c>
      <c r="F715" s="8">
        <v>3800</v>
      </c>
      <c r="G715" s="8">
        <f t="shared" si="44"/>
        <v>4750</v>
      </c>
      <c r="H715" s="8">
        <f t="shared" si="45"/>
        <v>5258250</v>
      </c>
      <c r="I715" s="8">
        <f t="shared" si="46"/>
        <v>4206600</v>
      </c>
      <c r="J715" s="8">
        <f t="shared" si="47"/>
        <v>1051650</v>
      </c>
      <c r="K715" s="9">
        <v>46000</v>
      </c>
      <c r="L715" s="10">
        <f>Table1[[#This Row],[Profit]]/Table1[[#This Row],[Sales]]</f>
        <v>0.2</v>
      </c>
    </row>
    <row r="716" spans="1:12">
      <c r="A716" t="s">
        <v>11</v>
      </c>
      <c r="B716" t="s">
        <v>51</v>
      </c>
      <c r="C716" t="s">
        <v>13</v>
      </c>
      <c r="D716" t="s">
        <v>14</v>
      </c>
      <c r="E716" s="7">
        <v>2723</v>
      </c>
      <c r="F716" s="8">
        <v>20700</v>
      </c>
      <c r="G716" s="8">
        <f t="shared" si="44"/>
        <v>25875</v>
      </c>
      <c r="H716" s="8">
        <f t="shared" si="45"/>
        <v>70457625</v>
      </c>
      <c r="I716" s="8">
        <f t="shared" si="46"/>
        <v>56366100</v>
      </c>
      <c r="J716" s="8">
        <f t="shared" si="47"/>
        <v>14091525</v>
      </c>
      <c r="K716" s="9">
        <v>46000</v>
      </c>
      <c r="L716" s="10">
        <f>Table1[[#This Row],[Profit]]/Table1[[#This Row],[Sales]]</f>
        <v>0.2</v>
      </c>
    </row>
    <row r="717" spans="1:12">
      <c r="A717" t="s">
        <v>11</v>
      </c>
      <c r="B717" t="s">
        <v>77</v>
      </c>
      <c r="C717" t="s">
        <v>27</v>
      </c>
      <c r="D717" t="s">
        <v>14</v>
      </c>
      <c r="E717" s="7">
        <v>2836</v>
      </c>
      <c r="F717" s="8">
        <v>12800</v>
      </c>
      <c r="G717" s="8">
        <f t="shared" si="44"/>
        <v>16000</v>
      </c>
      <c r="H717" s="8">
        <f t="shared" si="45"/>
        <v>45376000</v>
      </c>
      <c r="I717" s="8">
        <f t="shared" si="46"/>
        <v>36300800</v>
      </c>
      <c r="J717" s="8">
        <f t="shared" si="47"/>
        <v>9075200</v>
      </c>
      <c r="K717" s="9">
        <v>46002</v>
      </c>
      <c r="L717" s="10">
        <f>Table1[[#This Row],[Profit]]/Table1[[#This Row],[Sales]]</f>
        <v>0.2</v>
      </c>
    </row>
    <row r="718" spans="1:12">
      <c r="A718" t="s">
        <v>11</v>
      </c>
      <c r="B718" t="s">
        <v>39</v>
      </c>
      <c r="C718" t="s">
        <v>21</v>
      </c>
      <c r="D718" t="s">
        <v>14</v>
      </c>
      <c r="E718" s="7">
        <v>2757</v>
      </c>
      <c r="F718" s="8">
        <v>21900</v>
      </c>
      <c r="G718" s="8">
        <f t="shared" si="44"/>
        <v>27375</v>
      </c>
      <c r="H718" s="8">
        <f t="shared" si="45"/>
        <v>75472875</v>
      </c>
      <c r="I718" s="8">
        <f t="shared" si="46"/>
        <v>60378300</v>
      </c>
      <c r="J718" s="8">
        <f t="shared" si="47"/>
        <v>15094575</v>
      </c>
      <c r="K718" s="9">
        <v>46002</v>
      </c>
      <c r="L718" s="10">
        <f>Table1[[#This Row],[Profit]]/Table1[[#This Row],[Sales]]</f>
        <v>0.2</v>
      </c>
    </row>
    <row r="719" spans="1:12">
      <c r="A719" t="s">
        <v>11</v>
      </c>
      <c r="B719" t="s">
        <v>26</v>
      </c>
      <c r="C719" t="s">
        <v>27</v>
      </c>
      <c r="D719" t="s">
        <v>14</v>
      </c>
      <c r="E719" s="7">
        <v>486</v>
      </c>
      <c r="F719" s="8">
        <v>2100</v>
      </c>
      <c r="G719" s="8">
        <f t="shared" si="44"/>
        <v>2625</v>
      </c>
      <c r="H719" s="8">
        <f t="shared" si="45"/>
        <v>1275750</v>
      </c>
      <c r="I719" s="8">
        <f t="shared" si="46"/>
        <v>1020600</v>
      </c>
      <c r="J719" s="8">
        <f t="shared" si="47"/>
        <v>255150</v>
      </c>
      <c r="K719" s="9">
        <v>46003</v>
      </c>
      <c r="L719" s="10">
        <f>Table1[[#This Row],[Profit]]/Table1[[#This Row],[Sales]]</f>
        <v>0.2</v>
      </c>
    </row>
    <row r="720" spans="1:12">
      <c r="A720" t="s">
        <v>11</v>
      </c>
      <c r="B720" t="s">
        <v>97</v>
      </c>
      <c r="C720" t="s">
        <v>27</v>
      </c>
      <c r="D720" t="s">
        <v>14</v>
      </c>
      <c r="E720" s="7">
        <v>1990</v>
      </c>
      <c r="F720" s="8">
        <v>13400</v>
      </c>
      <c r="G720" s="8">
        <f t="shared" si="44"/>
        <v>16750</v>
      </c>
      <c r="H720" s="8">
        <f t="shared" si="45"/>
        <v>33332500</v>
      </c>
      <c r="I720" s="8">
        <f t="shared" si="46"/>
        <v>26666000</v>
      </c>
      <c r="J720" s="8">
        <f t="shared" si="47"/>
        <v>6666500</v>
      </c>
      <c r="K720" s="9">
        <v>46005</v>
      </c>
      <c r="L720" s="10">
        <f>Table1[[#This Row],[Profit]]/Table1[[#This Row],[Sales]]</f>
        <v>0.2</v>
      </c>
    </row>
    <row r="721" spans="1:12">
      <c r="A721" t="s">
        <v>11</v>
      </c>
      <c r="B721" t="s">
        <v>97</v>
      </c>
      <c r="C721" t="s">
        <v>27</v>
      </c>
      <c r="D721" t="s">
        <v>14</v>
      </c>
      <c r="E721" s="7">
        <v>2300</v>
      </c>
      <c r="F721" s="8">
        <v>16600</v>
      </c>
      <c r="G721" s="8">
        <f t="shared" si="44"/>
        <v>20750</v>
      </c>
      <c r="H721" s="8">
        <f t="shared" si="45"/>
        <v>47725000</v>
      </c>
      <c r="I721" s="8">
        <f t="shared" si="46"/>
        <v>38180000</v>
      </c>
      <c r="J721" s="8">
        <f t="shared" si="47"/>
        <v>9545000</v>
      </c>
      <c r="K721" s="9">
        <v>46007</v>
      </c>
      <c r="L721" s="10">
        <f>Table1[[#This Row],[Profit]]/Table1[[#This Row],[Sales]]</f>
        <v>0.2</v>
      </c>
    </row>
    <row r="722" spans="1:12">
      <c r="A722" t="s">
        <v>11</v>
      </c>
      <c r="B722" t="s">
        <v>51</v>
      </c>
      <c r="C722" t="s">
        <v>63</v>
      </c>
      <c r="D722" t="s">
        <v>14</v>
      </c>
      <c r="E722" s="7">
        <v>839</v>
      </c>
      <c r="F722" s="8">
        <v>5400</v>
      </c>
      <c r="G722" s="8">
        <f t="shared" si="44"/>
        <v>6750</v>
      </c>
      <c r="H722" s="8">
        <f t="shared" si="45"/>
        <v>5663250</v>
      </c>
      <c r="I722" s="8">
        <f t="shared" si="46"/>
        <v>4530600</v>
      </c>
      <c r="J722" s="8">
        <f t="shared" si="47"/>
        <v>1132650</v>
      </c>
      <c r="K722" s="9">
        <v>46011</v>
      </c>
      <c r="L722" s="10">
        <f>Table1[[#This Row],[Profit]]/Table1[[#This Row],[Sales]]</f>
        <v>0.2</v>
      </c>
    </row>
    <row r="723" spans="1:12">
      <c r="A723" t="s">
        <v>11</v>
      </c>
      <c r="B723" t="s">
        <v>26</v>
      </c>
      <c r="C723" t="s">
        <v>63</v>
      </c>
      <c r="D723" t="s">
        <v>14</v>
      </c>
      <c r="E723" s="7">
        <v>2097</v>
      </c>
      <c r="F723" s="8">
        <v>8300</v>
      </c>
      <c r="G723" s="8">
        <f t="shared" si="44"/>
        <v>10375</v>
      </c>
      <c r="H723" s="8">
        <f t="shared" si="45"/>
        <v>21756375</v>
      </c>
      <c r="I723" s="8">
        <f t="shared" si="46"/>
        <v>17405100</v>
      </c>
      <c r="J723" s="8">
        <f t="shared" si="47"/>
        <v>4351275</v>
      </c>
      <c r="K723" s="9">
        <v>46013</v>
      </c>
      <c r="L723" s="10">
        <f>Table1[[#This Row],[Profit]]/Table1[[#This Row],[Sales]]</f>
        <v>0.2</v>
      </c>
    </row>
    <row r="724" spans="1:12">
      <c r="A724" t="s">
        <v>11</v>
      </c>
      <c r="B724" t="s">
        <v>98</v>
      </c>
      <c r="C724" t="s">
        <v>68</v>
      </c>
      <c r="D724" t="s">
        <v>14</v>
      </c>
      <c r="E724" s="7">
        <v>2908</v>
      </c>
      <c r="F724" s="8">
        <v>23400</v>
      </c>
      <c r="G724" s="8">
        <f t="shared" si="44"/>
        <v>29250</v>
      </c>
      <c r="H724" s="8">
        <f t="shared" si="45"/>
        <v>85059000</v>
      </c>
      <c r="I724" s="8">
        <f t="shared" si="46"/>
        <v>68047200</v>
      </c>
      <c r="J724" s="8">
        <f t="shared" si="47"/>
        <v>17011800</v>
      </c>
      <c r="K724" s="9">
        <v>46017</v>
      </c>
      <c r="L724" s="10">
        <f>Table1[[#This Row],[Profit]]/Table1[[#This Row],[Sales]]</f>
        <v>0.2</v>
      </c>
    </row>
    <row r="725" spans="1:12">
      <c r="A725" t="s">
        <v>11</v>
      </c>
      <c r="B725" t="s">
        <v>77</v>
      </c>
      <c r="C725" t="s">
        <v>34</v>
      </c>
      <c r="D725" t="s">
        <v>14</v>
      </c>
      <c r="E725" s="7">
        <v>2424</v>
      </c>
      <c r="F725" s="8">
        <v>21900</v>
      </c>
      <c r="G725" s="8">
        <f t="shared" si="44"/>
        <v>27375</v>
      </c>
      <c r="H725" s="8">
        <f t="shared" si="45"/>
        <v>66357000</v>
      </c>
      <c r="I725" s="8">
        <f t="shared" si="46"/>
        <v>53085600</v>
      </c>
      <c r="J725" s="8">
        <f t="shared" si="47"/>
        <v>13271400</v>
      </c>
      <c r="K725" s="9">
        <v>46019</v>
      </c>
      <c r="L725" s="10">
        <f>Table1[[#This Row],[Profit]]/Table1[[#This Row],[Sales]]</f>
        <v>0.2</v>
      </c>
    </row>
    <row r="726" spans="1:12">
      <c r="A726" t="s">
        <v>11</v>
      </c>
      <c r="B726" t="s">
        <v>88</v>
      </c>
      <c r="C726" t="s">
        <v>63</v>
      </c>
      <c r="D726" t="s">
        <v>14</v>
      </c>
      <c r="E726" s="7">
        <v>1780</v>
      </c>
      <c r="F726" s="8">
        <v>17900</v>
      </c>
      <c r="G726" s="8">
        <f t="shared" si="44"/>
        <v>22375</v>
      </c>
      <c r="H726" s="8">
        <f t="shared" si="45"/>
        <v>39827500</v>
      </c>
      <c r="I726" s="8">
        <f t="shared" si="46"/>
        <v>31862000</v>
      </c>
      <c r="J726" s="8">
        <f t="shared" si="47"/>
        <v>7965500</v>
      </c>
      <c r="K726" s="9">
        <v>46022</v>
      </c>
      <c r="L726" s="10">
        <f>Table1[[#This Row],[Profit]]/Table1[[#This Row],[Sales]]</f>
        <v>0.2</v>
      </c>
    </row>
    <row r="727" spans="1:12">
      <c r="A727" t="s">
        <v>11</v>
      </c>
      <c r="B727" t="s">
        <v>97</v>
      </c>
      <c r="C727" t="s">
        <v>34</v>
      </c>
      <c r="D727" t="s">
        <v>14</v>
      </c>
      <c r="E727" s="7">
        <v>696</v>
      </c>
      <c r="F727" s="8">
        <v>20100</v>
      </c>
      <c r="G727" s="8">
        <f t="shared" si="44"/>
        <v>25125</v>
      </c>
      <c r="H727" s="8">
        <f t="shared" si="45"/>
        <v>17487000</v>
      </c>
      <c r="I727" s="8">
        <f t="shared" si="46"/>
        <v>13989600</v>
      </c>
      <c r="J727" s="8">
        <f t="shared" si="47"/>
        <v>3497400</v>
      </c>
      <c r="K727" s="9">
        <v>46022</v>
      </c>
      <c r="L727" s="10">
        <f>Table1[[#This Row],[Profit]]/Table1[[#This Row],[Sales]]</f>
        <v>0.2</v>
      </c>
    </row>
    <row r="728" spans="1:12">
      <c r="A728" t="s">
        <v>23</v>
      </c>
      <c r="B728" t="s">
        <v>36</v>
      </c>
      <c r="C728" t="s">
        <v>79</v>
      </c>
      <c r="D728" t="s">
        <v>14</v>
      </c>
      <c r="E728" s="7">
        <v>2736</v>
      </c>
      <c r="F728" s="8">
        <v>22500</v>
      </c>
      <c r="G728" s="8">
        <f t="shared" si="44"/>
        <v>28125</v>
      </c>
      <c r="H728" s="8">
        <f t="shared" si="45"/>
        <v>76950000</v>
      </c>
      <c r="I728" s="8">
        <f t="shared" si="46"/>
        <v>61560000</v>
      </c>
      <c r="J728" s="8">
        <f t="shared" si="47"/>
        <v>15390000</v>
      </c>
      <c r="K728" s="9">
        <v>45658</v>
      </c>
      <c r="L728" s="10">
        <f>Table1[[#This Row],[Profit]]/Table1[[#This Row],[Sales]]</f>
        <v>0.2</v>
      </c>
    </row>
    <row r="729" spans="1:12">
      <c r="A729" t="s">
        <v>23</v>
      </c>
      <c r="B729" t="s">
        <v>97</v>
      </c>
      <c r="C729" t="s">
        <v>34</v>
      </c>
      <c r="D729" t="s">
        <v>14</v>
      </c>
      <c r="E729" s="7">
        <v>2810</v>
      </c>
      <c r="F729" s="8">
        <v>14700</v>
      </c>
      <c r="G729" s="8">
        <f t="shared" si="44"/>
        <v>18375</v>
      </c>
      <c r="H729" s="8">
        <f t="shared" si="45"/>
        <v>51633750</v>
      </c>
      <c r="I729" s="8">
        <f t="shared" si="46"/>
        <v>41307000</v>
      </c>
      <c r="J729" s="8">
        <f t="shared" si="47"/>
        <v>10326750</v>
      </c>
      <c r="K729" s="9">
        <v>45658</v>
      </c>
      <c r="L729" s="10">
        <f>Table1[[#This Row],[Profit]]/Table1[[#This Row],[Sales]]</f>
        <v>0.2</v>
      </c>
    </row>
    <row r="730" spans="1:12">
      <c r="A730" t="s">
        <v>23</v>
      </c>
      <c r="B730" t="s">
        <v>26</v>
      </c>
      <c r="C730" t="s">
        <v>34</v>
      </c>
      <c r="D730" t="s">
        <v>14</v>
      </c>
      <c r="E730" s="7">
        <v>847</v>
      </c>
      <c r="F730" s="8">
        <v>22700</v>
      </c>
      <c r="G730" s="8">
        <f t="shared" si="44"/>
        <v>28375</v>
      </c>
      <c r="H730" s="8">
        <f t="shared" si="45"/>
        <v>24033625</v>
      </c>
      <c r="I730" s="8">
        <f t="shared" si="46"/>
        <v>19226900</v>
      </c>
      <c r="J730" s="8">
        <f t="shared" si="47"/>
        <v>4806725</v>
      </c>
      <c r="K730" s="9">
        <v>45658</v>
      </c>
      <c r="L730" s="10">
        <f>Table1[[#This Row],[Profit]]/Table1[[#This Row],[Sales]]</f>
        <v>0.2</v>
      </c>
    </row>
    <row r="731" spans="1:12">
      <c r="A731" t="s">
        <v>23</v>
      </c>
      <c r="B731" t="s">
        <v>88</v>
      </c>
      <c r="C731" t="s">
        <v>13</v>
      </c>
      <c r="D731" t="s">
        <v>14</v>
      </c>
      <c r="E731" s="7">
        <v>1181</v>
      </c>
      <c r="F731" s="8">
        <v>12300</v>
      </c>
      <c r="G731" s="8">
        <f t="shared" si="44"/>
        <v>15375</v>
      </c>
      <c r="H731" s="8">
        <f t="shared" si="45"/>
        <v>18157875</v>
      </c>
      <c r="I731" s="8">
        <f t="shared" si="46"/>
        <v>14526300</v>
      </c>
      <c r="J731" s="8">
        <f t="shared" si="47"/>
        <v>3631575</v>
      </c>
      <c r="K731" s="9">
        <v>45660</v>
      </c>
      <c r="L731" s="10">
        <f>Table1[[#This Row],[Profit]]/Table1[[#This Row],[Sales]]</f>
        <v>0.2</v>
      </c>
    </row>
    <row r="732" spans="1:12">
      <c r="A732" t="s">
        <v>23</v>
      </c>
      <c r="B732" t="s">
        <v>62</v>
      </c>
      <c r="C732" t="s">
        <v>79</v>
      </c>
      <c r="D732" t="s">
        <v>14</v>
      </c>
      <c r="E732" s="7">
        <v>587</v>
      </c>
      <c r="F732" s="8">
        <v>2600</v>
      </c>
      <c r="G732" s="8">
        <f t="shared" si="44"/>
        <v>3250</v>
      </c>
      <c r="H732" s="8">
        <f t="shared" si="45"/>
        <v>1907750</v>
      </c>
      <c r="I732" s="8">
        <f t="shared" si="46"/>
        <v>1526200</v>
      </c>
      <c r="J732" s="8">
        <f t="shared" si="47"/>
        <v>381550</v>
      </c>
      <c r="K732" s="9">
        <v>45661</v>
      </c>
      <c r="L732" s="10">
        <f>Table1[[#This Row],[Profit]]/Table1[[#This Row],[Sales]]</f>
        <v>0.2</v>
      </c>
    </row>
    <row r="733" spans="1:12">
      <c r="A733" t="s">
        <v>23</v>
      </c>
      <c r="B733" t="s">
        <v>36</v>
      </c>
      <c r="C733" t="s">
        <v>37</v>
      </c>
      <c r="D733" t="s">
        <v>14</v>
      </c>
      <c r="E733" s="7">
        <v>2902</v>
      </c>
      <c r="F733" s="8">
        <v>3900</v>
      </c>
      <c r="G733" s="8">
        <f t="shared" si="44"/>
        <v>4875</v>
      </c>
      <c r="H733" s="8">
        <f t="shared" si="45"/>
        <v>14147250</v>
      </c>
      <c r="I733" s="8">
        <f t="shared" si="46"/>
        <v>11317800</v>
      </c>
      <c r="J733" s="8">
        <f t="shared" si="47"/>
        <v>2829450</v>
      </c>
      <c r="K733" s="9">
        <v>45662</v>
      </c>
      <c r="L733" s="10">
        <f>Table1[[#This Row],[Profit]]/Table1[[#This Row],[Sales]]</f>
        <v>0.2</v>
      </c>
    </row>
    <row r="734" spans="1:12">
      <c r="A734" t="s">
        <v>23</v>
      </c>
      <c r="B734" t="s">
        <v>20</v>
      </c>
      <c r="C734" t="s">
        <v>27</v>
      </c>
      <c r="D734" t="s">
        <v>14</v>
      </c>
      <c r="E734" s="7">
        <v>462</v>
      </c>
      <c r="F734" s="8">
        <v>24700</v>
      </c>
      <c r="G734" s="8">
        <f t="shared" si="44"/>
        <v>30875</v>
      </c>
      <c r="H734" s="8">
        <f t="shared" si="45"/>
        <v>14264250</v>
      </c>
      <c r="I734" s="8">
        <f t="shared" si="46"/>
        <v>11411400</v>
      </c>
      <c r="J734" s="8">
        <f t="shared" si="47"/>
        <v>2852850</v>
      </c>
      <c r="K734" s="9">
        <v>45663</v>
      </c>
      <c r="L734" s="10">
        <f>Table1[[#This Row],[Profit]]/Table1[[#This Row],[Sales]]</f>
        <v>0.2</v>
      </c>
    </row>
    <row r="735" spans="1:12">
      <c r="A735" t="s">
        <v>23</v>
      </c>
      <c r="B735" t="s">
        <v>51</v>
      </c>
      <c r="C735" t="s">
        <v>68</v>
      </c>
      <c r="D735" t="s">
        <v>14</v>
      </c>
      <c r="E735" s="7">
        <v>2863</v>
      </c>
      <c r="F735" s="8">
        <v>22100</v>
      </c>
      <c r="G735" s="8">
        <f t="shared" si="44"/>
        <v>27625</v>
      </c>
      <c r="H735" s="8">
        <f t="shared" si="45"/>
        <v>79090375</v>
      </c>
      <c r="I735" s="8">
        <f t="shared" si="46"/>
        <v>63272300</v>
      </c>
      <c r="J735" s="8">
        <f t="shared" si="47"/>
        <v>15818075</v>
      </c>
      <c r="K735" s="9">
        <v>45665</v>
      </c>
      <c r="L735" s="10">
        <f>Table1[[#This Row],[Profit]]/Table1[[#This Row],[Sales]]</f>
        <v>0.2</v>
      </c>
    </row>
    <row r="736" spans="1:12">
      <c r="A736" t="s">
        <v>23</v>
      </c>
      <c r="B736" t="s">
        <v>97</v>
      </c>
      <c r="C736" t="s">
        <v>79</v>
      </c>
      <c r="D736" t="s">
        <v>14</v>
      </c>
      <c r="E736" s="7">
        <v>1456</v>
      </c>
      <c r="F736" s="8">
        <v>22100</v>
      </c>
      <c r="G736" s="8">
        <f t="shared" si="44"/>
        <v>27625</v>
      </c>
      <c r="H736" s="8">
        <f t="shared" si="45"/>
        <v>40222000</v>
      </c>
      <c r="I736" s="8">
        <f t="shared" si="46"/>
        <v>32177600</v>
      </c>
      <c r="J736" s="8">
        <f t="shared" si="47"/>
        <v>8044400</v>
      </c>
      <c r="K736" s="9">
        <v>45665</v>
      </c>
      <c r="L736" s="10">
        <f>Table1[[#This Row],[Profit]]/Table1[[#This Row],[Sales]]</f>
        <v>0.2</v>
      </c>
    </row>
    <row r="737" spans="1:12">
      <c r="A737" t="s">
        <v>23</v>
      </c>
      <c r="B737" t="s">
        <v>98</v>
      </c>
      <c r="C737" t="s">
        <v>79</v>
      </c>
      <c r="D737" t="s">
        <v>14</v>
      </c>
      <c r="E737" s="7">
        <v>1910</v>
      </c>
      <c r="F737" s="8">
        <v>1500</v>
      </c>
      <c r="G737" s="8">
        <f t="shared" si="44"/>
        <v>1875</v>
      </c>
      <c r="H737" s="8">
        <f t="shared" si="45"/>
        <v>3581250</v>
      </c>
      <c r="I737" s="8">
        <f t="shared" si="46"/>
        <v>2865000</v>
      </c>
      <c r="J737" s="8">
        <f t="shared" si="47"/>
        <v>716250</v>
      </c>
      <c r="K737" s="9">
        <v>45666</v>
      </c>
      <c r="L737" s="10">
        <f>Table1[[#This Row],[Profit]]/Table1[[#This Row],[Sales]]</f>
        <v>0.2</v>
      </c>
    </row>
    <row r="738" spans="1:12">
      <c r="A738" t="s">
        <v>23</v>
      </c>
      <c r="B738" t="s">
        <v>39</v>
      </c>
      <c r="C738" t="s">
        <v>21</v>
      </c>
      <c r="D738" t="s">
        <v>14</v>
      </c>
      <c r="E738" s="7">
        <v>281</v>
      </c>
      <c r="F738" s="8">
        <v>17500</v>
      </c>
      <c r="G738" s="8">
        <f t="shared" si="44"/>
        <v>21875</v>
      </c>
      <c r="H738" s="8">
        <f t="shared" si="45"/>
        <v>6146875</v>
      </c>
      <c r="I738" s="8">
        <f t="shared" si="46"/>
        <v>4917500</v>
      </c>
      <c r="J738" s="8">
        <f t="shared" si="47"/>
        <v>1229375</v>
      </c>
      <c r="K738" s="9">
        <v>45668</v>
      </c>
      <c r="L738" s="10">
        <f>Table1[[#This Row],[Profit]]/Table1[[#This Row],[Sales]]</f>
        <v>0.2</v>
      </c>
    </row>
    <row r="739" spans="1:12">
      <c r="A739" t="s">
        <v>23</v>
      </c>
      <c r="B739" t="s">
        <v>62</v>
      </c>
      <c r="C739" t="s">
        <v>31</v>
      </c>
      <c r="D739" t="s">
        <v>14</v>
      </c>
      <c r="E739" s="7">
        <v>1146</v>
      </c>
      <c r="F739" s="8">
        <v>12400</v>
      </c>
      <c r="G739" s="8">
        <f t="shared" si="44"/>
        <v>15500</v>
      </c>
      <c r="H739" s="8">
        <f t="shared" si="45"/>
        <v>17763000</v>
      </c>
      <c r="I739" s="8">
        <f t="shared" si="46"/>
        <v>14210400</v>
      </c>
      <c r="J739" s="8">
        <f t="shared" si="47"/>
        <v>3552600</v>
      </c>
      <c r="K739" s="9">
        <v>45671</v>
      </c>
      <c r="L739" s="10">
        <f>Table1[[#This Row],[Profit]]/Table1[[#This Row],[Sales]]</f>
        <v>0.2</v>
      </c>
    </row>
    <row r="740" spans="1:12">
      <c r="A740" t="s">
        <v>23</v>
      </c>
      <c r="B740" t="s">
        <v>51</v>
      </c>
      <c r="C740" t="s">
        <v>31</v>
      </c>
      <c r="D740" t="s">
        <v>14</v>
      </c>
      <c r="E740" s="7">
        <v>2501</v>
      </c>
      <c r="F740" s="8">
        <v>6400</v>
      </c>
      <c r="G740" s="8">
        <f t="shared" si="44"/>
        <v>8000</v>
      </c>
      <c r="H740" s="8">
        <f t="shared" si="45"/>
        <v>20008000</v>
      </c>
      <c r="I740" s="8">
        <f t="shared" si="46"/>
        <v>16006400</v>
      </c>
      <c r="J740" s="8">
        <f t="shared" si="47"/>
        <v>4001600</v>
      </c>
      <c r="K740" s="9">
        <v>45672</v>
      </c>
      <c r="L740" s="10">
        <f>Table1[[#This Row],[Profit]]/Table1[[#This Row],[Sales]]</f>
        <v>0.2</v>
      </c>
    </row>
    <row r="741" spans="1:12">
      <c r="A741" t="s">
        <v>23</v>
      </c>
      <c r="B741" t="s">
        <v>36</v>
      </c>
      <c r="C741" t="s">
        <v>34</v>
      </c>
      <c r="D741" t="s">
        <v>14</v>
      </c>
      <c r="E741" s="7">
        <v>1197</v>
      </c>
      <c r="F741" s="8">
        <v>9900</v>
      </c>
      <c r="G741" s="8">
        <f t="shared" si="44"/>
        <v>12375</v>
      </c>
      <c r="H741" s="8">
        <f t="shared" si="45"/>
        <v>14812875</v>
      </c>
      <c r="I741" s="8">
        <f t="shared" si="46"/>
        <v>11850300</v>
      </c>
      <c r="J741" s="8">
        <f t="shared" si="47"/>
        <v>2962575</v>
      </c>
      <c r="K741" s="9">
        <v>45674</v>
      </c>
      <c r="L741" s="10">
        <f>Table1[[#This Row],[Profit]]/Table1[[#This Row],[Sales]]</f>
        <v>0.2</v>
      </c>
    </row>
    <row r="742" spans="1:12">
      <c r="A742" t="s">
        <v>23</v>
      </c>
      <c r="B742" t="s">
        <v>88</v>
      </c>
      <c r="C742" t="s">
        <v>79</v>
      </c>
      <c r="D742" t="s">
        <v>14</v>
      </c>
      <c r="E742" s="7">
        <v>2952</v>
      </c>
      <c r="F742" s="8">
        <v>2200</v>
      </c>
      <c r="G742" s="8">
        <f t="shared" si="44"/>
        <v>2750</v>
      </c>
      <c r="H742" s="8">
        <f t="shared" si="45"/>
        <v>8118000</v>
      </c>
      <c r="I742" s="8">
        <f t="shared" si="46"/>
        <v>6494400</v>
      </c>
      <c r="J742" s="8">
        <f t="shared" si="47"/>
        <v>1623600</v>
      </c>
      <c r="K742" s="9">
        <v>45674</v>
      </c>
      <c r="L742" s="10">
        <f>Table1[[#This Row],[Profit]]/Table1[[#This Row],[Sales]]</f>
        <v>0.2</v>
      </c>
    </row>
    <row r="743" spans="1:12">
      <c r="A743" t="s">
        <v>23</v>
      </c>
      <c r="B743" t="s">
        <v>97</v>
      </c>
      <c r="C743" t="s">
        <v>63</v>
      </c>
      <c r="D743" t="s">
        <v>14</v>
      </c>
      <c r="E743" s="7">
        <v>861</v>
      </c>
      <c r="F743" s="8">
        <v>21300</v>
      </c>
      <c r="G743" s="8">
        <f t="shared" si="44"/>
        <v>26625</v>
      </c>
      <c r="H743" s="8">
        <f t="shared" si="45"/>
        <v>22924125</v>
      </c>
      <c r="I743" s="8">
        <f t="shared" si="46"/>
        <v>18339300</v>
      </c>
      <c r="J743" s="8">
        <f t="shared" si="47"/>
        <v>4584825</v>
      </c>
      <c r="K743" s="9">
        <v>45674</v>
      </c>
      <c r="L743" s="10">
        <f>Table1[[#This Row],[Profit]]/Table1[[#This Row],[Sales]]</f>
        <v>0.2</v>
      </c>
    </row>
    <row r="744" spans="1:12">
      <c r="A744" t="s">
        <v>23</v>
      </c>
      <c r="B744" t="s">
        <v>62</v>
      </c>
      <c r="C744" t="s">
        <v>68</v>
      </c>
      <c r="D744" t="s">
        <v>14</v>
      </c>
      <c r="E744" s="7">
        <v>542</v>
      </c>
      <c r="F744" s="8">
        <v>3300</v>
      </c>
      <c r="G744" s="8">
        <f t="shared" si="44"/>
        <v>4125</v>
      </c>
      <c r="H744" s="8">
        <f t="shared" si="45"/>
        <v>2235750</v>
      </c>
      <c r="I744" s="8">
        <f t="shared" si="46"/>
        <v>1788600</v>
      </c>
      <c r="J744" s="8">
        <f t="shared" si="47"/>
        <v>447150</v>
      </c>
      <c r="K744" s="9">
        <v>45676</v>
      </c>
      <c r="L744" s="10">
        <f>Table1[[#This Row],[Profit]]/Table1[[#This Row],[Sales]]</f>
        <v>0.2</v>
      </c>
    </row>
    <row r="745" spans="1:12">
      <c r="A745" t="s">
        <v>23</v>
      </c>
      <c r="B745" t="s">
        <v>26</v>
      </c>
      <c r="C745" t="s">
        <v>13</v>
      </c>
      <c r="D745" t="s">
        <v>14</v>
      </c>
      <c r="E745" s="7">
        <v>235</v>
      </c>
      <c r="F745" s="8">
        <v>19300</v>
      </c>
      <c r="G745" s="8">
        <f t="shared" si="44"/>
        <v>24125</v>
      </c>
      <c r="H745" s="8">
        <f t="shared" si="45"/>
        <v>5669375</v>
      </c>
      <c r="I745" s="8">
        <f t="shared" si="46"/>
        <v>4535500</v>
      </c>
      <c r="J745" s="8">
        <f t="shared" si="47"/>
        <v>1133875</v>
      </c>
      <c r="K745" s="9">
        <v>45676</v>
      </c>
      <c r="L745" s="10">
        <f>Table1[[#This Row],[Profit]]/Table1[[#This Row],[Sales]]</f>
        <v>0.2</v>
      </c>
    </row>
    <row r="746" spans="1:12">
      <c r="A746" t="s">
        <v>23</v>
      </c>
      <c r="B746" t="s">
        <v>26</v>
      </c>
      <c r="C746" t="s">
        <v>31</v>
      </c>
      <c r="D746" t="s">
        <v>14</v>
      </c>
      <c r="E746" s="7">
        <v>764</v>
      </c>
      <c r="F746" s="8">
        <v>15000</v>
      </c>
      <c r="G746" s="8">
        <f t="shared" si="44"/>
        <v>18750</v>
      </c>
      <c r="H746" s="8">
        <f t="shared" si="45"/>
        <v>14325000</v>
      </c>
      <c r="I746" s="8">
        <f t="shared" si="46"/>
        <v>11460000</v>
      </c>
      <c r="J746" s="8">
        <f t="shared" si="47"/>
        <v>2865000</v>
      </c>
      <c r="K746" s="9">
        <v>45677</v>
      </c>
      <c r="L746" s="10">
        <f>Table1[[#This Row],[Profit]]/Table1[[#This Row],[Sales]]</f>
        <v>0.2</v>
      </c>
    </row>
    <row r="747" spans="1:12">
      <c r="A747" t="s">
        <v>23</v>
      </c>
      <c r="B747" t="s">
        <v>39</v>
      </c>
      <c r="C747" t="s">
        <v>21</v>
      </c>
      <c r="D747" t="s">
        <v>14</v>
      </c>
      <c r="E747" s="7">
        <v>2944</v>
      </c>
      <c r="F747" s="8">
        <v>12700</v>
      </c>
      <c r="G747" s="8">
        <f t="shared" si="44"/>
        <v>15875</v>
      </c>
      <c r="H747" s="8">
        <f t="shared" si="45"/>
        <v>46736000</v>
      </c>
      <c r="I747" s="8">
        <f t="shared" si="46"/>
        <v>37388800</v>
      </c>
      <c r="J747" s="8">
        <f t="shared" si="47"/>
        <v>9347200</v>
      </c>
      <c r="K747" s="9">
        <v>45678</v>
      </c>
      <c r="L747" s="10">
        <f>Table1[[#This Row],[Profit]]/Table1[[#This Row],[Sales]]</f>
        <v>0.2</v>
      </c>
    </row>
    <row r="748" spans="1:12">
      <c r="A748" t="s">
        <v>23</v>
      </c>
      <c r="B748" t="s">
        <v>51</v>
      </c>
      <c r="C748" t="s">
        <v>34</v>
      </c>
      <c r="D748" t="s">
        <v>14</v>
      </c>
      <c r="E748" s="7">
        <v>1205</v>
      </c>
      <c r="F748" s="8">
        <v>19500</v>
      </c>
      <c r="G748" s="8">
        <f t="shared" si="44"/>
        <v>24375</v>
      </c>
      <c r="H748" s="8">
        <f t="shared" si="45"/>
        <v>29371875</v>
      </c>
      <c r="I748" s="8">
        <f t="shared" si="46"/>
        <v>23497500</v>
      </c>
      <c r="J748" s="8">
        <f t="shared" si="47"/>
        <v>5874375</v>
      </c>
      <c r="K748" s="9">
        <v>45680</v>
      </c>
      <c r="L748" s="10">
        <f>Table1[[#This Row],[Profit]]/Table1[[#This Row],[Sales]]</f>
        <v>0.2</v>
      </c>
    </row>
    <row r="749" spans="1:12">
      <c r="A749" t="s">
        <v>23</v>
      </c>
      <c r="B749" t="s">
        <v>39</v>
      </c>
      <c r="C749" t="s">
        <v>21</v>
      </c>
      <c r="D749" t="s">
        <v>14</v>
      </c>
      <c r="E749" s="7">
        <v>2998</v>
      </c>
      <c r="F749" s="8">
        <v>23200</v>
      </c>
      <c r="G749" s="8">
        <f t="shared" si="44"/>
        <v>29000</v>
      </c>
      <c r="H749" s="8">
        <f t="shared" si="45"/>
        <v>86942000</v>
      </c>
      <c r="I749" s="8">
        <f t="shared" si="46"/>
        <v>69553600</v>
      </c>
      <c r="J749" s="8">
        <f t="shared" si="47"/>
        <v>17388400</v>
      </c>
      <c r="K749" s="9">
        <v>45681</v>
      </c>
      <c r="L749" s="10">
        <f>Table1[[#This Row],[Profit]]/Table1[[#This Row],[Sales]]</f>
        <v>0.2</v>
      </c>
    </row>
    <row r="750" spans="1:12">
      <c r="A750" t="s">
        <v>23</v>
      </c>
      <c r="B750" t="s">
        <v>51</v>
      </c>
      <c r="C750" t="s">
        <v>31</v>
      </c>
      <c r="D750" t="s">
        <v>14</v>
      </c>
      <c r="E750" s="7">
        <v>276</v>
      </c>
      <c r="F750" s="8">
        <v>3600</v>
      </c>
      <c r="G750" s="8">
        <f t="shared" si="44"/>
        <v>4500</v>
      </c>
      <c r="H750" s="8">
        <f t="shared" si="45"/>
        <v>1242000</v>
      </c>
      <c r="I750" s="8">
        <f t="shared" si="46"/>
        <v>993600</v>
      </c>
      <c r="J750" s="8">
        <f t="shared" si="47"/>
        <v>248400</v>
      </c>
      <c r="K750" s="9">
        <v>45683</v>
      </c>
      <c r="L750" s="10">
        <f>Table1[[#This Row],[Profit]]/Table1[[#This Row],[Sales]]</f>
        <v>0.2</v>
      </c>
    </row>
    <row r="751" spans="1:12">
      <c r="A751" t="s">
        <v>23</v>
      </c>
      <c r="B751" t="s">
        <v>39</v>
      </c>
      <c r="C751" t="s">
        <v>37</v>
      </c>
      <c r="D751" t="s">
        <v>14</v>
      </c>
      <c r="E751" s="7">
        <v>1203</v>
      </c>
      <c r="F751" s="8">
        <v>14100</v>
      </c>
      <c r="G751" s="8">
        <f t="shared" si="44"/>
        <v>17625</v>
      </c>
      <c r="H751" s="8">
        <f t="shared" si="45"/>
        <v>21202875</v>
      </c>
      <c r="I751" s="8">
        <f t="shared" si="46"/>
        <v>16962300</v>
      </c>
      <c r="J751" s="8">
        <f t="shared" si="47"/>
        <v>4240575</v>
      </c>
      <c r="K751" s="9">
        <v>45684</v>
      </c>
      <c r="L751" s="10">
        <f>Table1[[#This Row],[Profit]]/Table1[[#This Row],[Sales]]</f>
        <v>0.2</v>
      </c>
    </row>
    <row r="752" spans="1:12">
      <c r="A752" t="s">
        <v>23</v>
      </c>
      <c r="B752" t="s">
        <v>20</v>
      </c>
      <c r="C752" t="s">
        <v>13</v>
      </c>
      <c r="D752" t="s">
        <v>14</v>
      </c>
      <c r="E752" s="7">
        <v>1170</v>
      </c>
      <c r="F752" s="8">
        <v>8600</v>
      </c>
      <c r="G752" s="8">
        <f t="shared" si="44"/>
        <v>10750</v>
      </c>
      <c r="H752" s="8">
        <f t="shared" si="45"/>
        <v>12577500</v>
      </c>
      <c r="I752" s="8">
        <f t="shared" si="46"/>
        <v>10062000</v>
      </c>
      <c r="J752" s="8">
        <f t="shared" si="47"/>
        <v>2515500</v>
      </c>
      <c r="K752" s="9">
        <v>45684</v>
      </c>
      <c r="L752" s="10">
        <f>Table1[[#This Row],[Profit]]/Table1[[#This Row],[Sales]]</f>
        <v>0.2</v>
      </c>
    </row>
    <row r="753" spans="1:12">
      <c r="A753" t="s">
        <v>23</v>
      </c>
      <c r="B753" t="s">
        <v>26</v>
      </c>
      <c r="C753" t="s">
        <v>17</v>
      </c>
      <c r="D753" t="s">
        <v>14</v>
      </c>
      <c r="E753" s="7">
        <v>2830</v>
      </c>
      <c r="F753" s="8">
        <v>6800</v>
      </c>
      <c r="G753" s="8">
        <f t="shared" si="44"/>
        <v>8500</v>
      </c>
      <c r="H753" s="8">
        <f t="shared" si="45"/>
        <v>24055000</v>
      </c>
      <c r="I753" s="8">
        <f t="shared" si="46"/>
        <v>19244000</v>
      </c>
      <c r="J753" s="8">
        <f t="shared" si="47"/>
        <v>4811000</v>
      </c>
      <c r="K753" s="9">
        <v>45686</v>
      </c>
      <c r="L753" s="10">
        <f>Table1[[#This Row],[Profit]]/Table1[[#This Row],[Sales]]</f>
        <v>0.2</v>
      </c>
    </row>
    <row r="754" spans="1:12">
      <c r="A754" t="s">
        <v>23</v>
      </c>
      <c r="B754" t="s">
        <v>98</v>
      </c>
      <c r="C754" t="s">
        <v>34</v>
      </c>
      <c r="D754" t="s">
        <v>14</v>
      </c>
      <c r="E754" s="7">
        <v>1155</v>
      </c>
      <c r="F754" s="8">
        <v>11800</v>
      </c>
      <c r="G754" s="8">
        <f t="shared" si="44"/>
        <v>14750</v>
      </c>
      <c r="H754" s="8">
        <f t="shared" si="45"/>
        <v>17036250</v>
      </c>
      <c r="I754" s="8">
        <f t="shared" si="46"/>
        <v>13629000</v>
      </c>
      <c r="J754" s="8">
        <f t="shared" si="47"/>
        <v>3407250</v>
      </c>
      <c r="K754" s="9">
        <v>45688</v>
      </c>
      <c r="L754" s="10">
        <f>Table1[[#This Row],[Profit]]/Table1[[#This Row],[Sales]]</f>
        <v>0.2</v>
      </c>
    </row>
    <row r="755" spans="1:12">
      <c r="A755" t="s">
        <v>23</v>
      </c>
      <c r="B755" t="s">
        <v>26</v>
      </c>
      <c r="C755" t="s">
        <v>17</v>
      </c>
      <c r="D755" t="s">
        <v>14</v>
      </c>
      <c r="E755" s="7">
        <v>315</v>
      </c>
      <c r="F755" s="8">
        <v>21417</v>
      </c>
      <c r="G755" s="8">
        <f t="shared" si="44"/>
        <v>26750</v>
      </c>
      <c r="H755" s="8">
        <f t="shared" si="45"/>
        <v>8426250</v>
      </c>
      <c r="I755" s="8">
        <f t="shared" si="46"/>
        <v>6746355</v>
      </c>
      <c r="J755" s="8">
        <f t="shared" si="47"/>
        <v>1679895</v>
      </c>
      <c r="K755" s="9">
        <v>45688</v>
      </c>
      <c r="L755" s="10">
        <f>Table1[[#This Row],[Profit]]/Table1[[#This Row],[Sales]]</f>
        <v>0.1993644859813084</v>
      </c>
    </row>
    <row r="756" spans="1:12">
      <c r="A756" t="s">
        <v>23</v>
      </c>
      <c r="B756" t="s">
        <v>26</v>
      </c>
      <c r="C756" t="s">
        <v>17</v>
      </c>
      <c r="D756" t="s">
        <v>14</v>
      </c>
      <c r="E756" s="7">
        <v>765</v>
      </c>
      <c r="F756" s="8">
        <v>13000</v>
      </c>
      <c r="G756" s="8">
        <f t="shared" si="44"/>
        <v>16250</v>
      </c>
      <c r="H756" s="8">
        <f t="shared" si="45"/>
        <v>12431250</v>
      </c>
      <c r="I756" s="8">
        <f t="shared" si="46"/>
        <v>9945000</v>
      </c>
      <c r="J756" s="8">
        <f t="shared" si="47"/>
        <v>2486250</v>
      </c>
      <c r="K756" s="9">
        <v>45689</v>
      </c>
      <c r="L756" s="10">
        <f>Table1[[#This Row],[Profit]]/Table1[[#This Row],[Sales]]</f>
        <v>0.2</v>
      </c>
    </row>
    <row r="757" spans="1:12">
      <c r="A757" t="s">
        <v>23</v>
      </c>
      <c r="B757" t="s">
        <v>39</v>
      </c>
      <c r="C757" t="s">
        <v>13</v>
      </c>
      <c r="D757" t="s">
        <v>14</v>
      </c>
      <c r="E757" s="7">
        <v>2489</v>
      </c>
      <c r="F757" s="8">
        <v>1500</v>
      </c>
      <c r="G757" s="8">
        <f t="shared" si="44"/>
        <v>1875</v>
      </c>
      <c r="H757" s="8">
        <f t="shared" si="45"/>
        <v>4666875</v>
      </c>
      <c r="I757" s="8">
        <f t="shared" si="46"/>
        <v>3733500</v>
      </c>
      <c r="J757" s="8">
        <f t="shared" si="47"/>
        <v>933375</v>
      </c>
      <c r="K757" s="9">
        <v>45690</v>
      </c>
      <c r="L757" s="10">
        <f>Table1[[#This Row],[Profit]]/Table1[[#This Row],[Sales]]</f>
        <v>0.2</v>
      </c>
    </row>
    <row r="758" spans="1:12">
      <c r="A758" t="s">
        <v>23</v>
      </c>
      <c r="B758" t="s">
        <v>20</v>
      </c>
      <c r="C758" t="s">
        <v>27</v>
      </c>
      <c r="D758" t="s">
        <v>14</v>
      </c>
      <c r="E758" s="7">
        <v>2248</v>
      </c>
      <c r="F758" s="8">
        <v>13700</v>
      </c>
      <c r="G758" s="8">
        <f t="shared" si="44"/>
        <v>17125</v>
      </c>
      <c r="H758" s="8">
        <f t="shared" si="45"/>
        <v>38497000</v>
      </c>
      <c r="I758" s="8">
        <f t="shared" si="46"/>
        <v>30797600</v>
      </c>
      <c r="J758" s="8">
        <f t="shared" si="47"/>
        <v>7699400</v>
      </c>
      <c r="K758" s="9">
        <v>45691</v>
      </c>
      <c r="L758" s="10">
        <f>Table1[[#This Row],[Profit]]/Table1[[#This Row],[Sales]]</f>
        <v>0.2</v>
      </c>
    </row>
    <row r="759" spans="1:12">
      <c r="A759" t="s">
        <v>23</v>
      </c>
      <c r="B759" t="s">
        <v>51</v>
      </c>
      <c r="C759" t="s">
        <v>27</v>
      </c>
      <c r="D759" t="s">
        <v>14</v>
      </c>
      <c r="E759" s="7">
        <v>2938</v>
      </c>
      <c r="F759" s="8">
        <v>9000</v>
      </c>
      <c r="G759" s="8">
        <f t="shared" si="44"/>
        <v>11250</v>
      </c>
      <c r="H759" s="8">
        <f t="shared" si="45"/>
        <v>33052500</v>
      </c>
      <c r="I759" s="8">
        <f t="shared" si="46"/>
        <v>26442000</v>
      </c>
      <c r="J759" s="8">
        <f t="shared" si="47"/>
        <v>6610500</v>
      </c>
      <c r="K759" s="9">
        <v>45691</v>
      </c>
      <c r="L759" s="10">
        <f>Table1[[#This Row],[Profit]]/Table1[[#This Row],[Sales]]</f>
        <v>0.2</v>
      </c>
    </row>
    <row r="760" spans="1:12">
      <c r="A760" t="s">
        <v>23</v>
      </c>
      <c r="B760" t="s">
        <v>62</v>
      </c>
      <c r="C760" t="s">
        <v>17</v>
      </c>
      <c r="D760" t="s">
        <v>14</v>
      </c>
      <c r="E760" s="7">
        <v>2951</v>
      </c>
      <c r="F760" s="8">
        <v>21800</v>
      </c>
      <c r="G760" s="8">
        <f t="shared" si="44"/>
        <v>27250</v>
      </c>
      <c r="H760" s="8">
        <f t="shared" si="45"/>
        <v>80414750</v>
      </c>
      <c r="I760" s="8">
        <f t="shared" si="46"/>
        <v>64331800</v>
      </c>
      <c r="J760" s="8">
        <f t="shared" si="47"/>
        <v>16082950</v>
      </c>
      <c r="K760" s="9">
        <v>45693</v>
      </c>
      <c r="L760" s="10">
        <f>Table1[[#This Row],[Profit]]/Table1[[#This Row],[Sales]]</f>
        <v>0.2</v>
      </c>
    </row>
    <row r="761" spans="1:12">
      <c r="A761" t="s">
        <v>23</v>
      </c>
      <c r="B761" t="s">
        <v>36</v>
      </c>
      <c r="C761" t="s">
        <v>79</v>
      </c>
      <c r="D761" t="s">
        <v>14</v>
      </c>
      <c r="E761" s="7">
        <v>2140</v>
      </c>
      <c r="F761" s="8">
        <v>2200</v>
      </c>
      <c r="G761" s="8">
        <f t="shared" si="44"/>
        <v>2750</v>
      </c>
      <c r="H761" s="8">
        <f t="shared" si="45"/>
        <v>5885000</v>
      </c>
      <c r="I761" s="8">
        <f t="shared" si="46"/>
        <v>4708000</v>
      </c>
      <c r="J761" s="8">
        <f t="shared" si="47"/>
        <v>1177000</v>
      </c>
      <c r="K761" s="9">
        <v>45700</v>
      </c>
      <c r="L761" s="10">
        <f>Table1[[#This Row],[Profit]]/Table1[[#This Row],[Sales]]</f>
        <v>0.2</v>
      </c>
    </row>
    <row r="762" spans="1:12">
      <c r="A762" t="s">
        <v>23</v>
      </c>
      <c r="B762" t="s">
        <v>98</v>
      </c>
      <c r="C762" t="s">
        <v>21</v>
      </c>
      <c r="D762" t="s">
        <v>14</v>
      </c>
      <c r="E762" s="7">
        <v>1224</v>
      </c>
      <c r="F762" s="8">
        <v>1700</v>
      </c>
      <c r="G762" s="8">
        <f t="shared" si="44"/>
        <v>2125</v>
      </c>
      <c r="H762" s="8">
        <f t="shared" si="45"/>
        <v>2601000</v>
      </c>
      <c r="I762" s="8">
        <f t="shared" si="46"/>
        <v>2080800</v>
      </c>
      <c r="J762" s="8">
        <f t="shared" si="47"/>
        <v>520200</v>
      </c>
      <c r="K762" s="9">
        <v>45702</v>
      </c>
      <c r="L762" s="10">
        <f>Table1[[#This Row],[Profit]]/Table1[[#This Row],[Sales]]</f>
        <v>0.2</v>
      </c>
    </row>
    <row r="763" spans="1:12">
      <c r="A763" t="s">
        <v>23</v>
      </c>
      <c r="B763" t="s">
        <v>98</v>
      </c>
      <c r="C763" t="s">
        <v>17</v>
      </c>
      <c r="D763" t="s">
        <v>14</v>
      </c>
      <c r="E763" s="7">
        <v>681</v>
      </c>
      <c r="F763" s="8">
        <v>15300</v>
      </c>
      <c r="G763" s="8">
        <f t="shared" si="44"/>
        <v>19125</v>
      </c>
      <c r="H763" s="8">
        <f t="shared" si="45"/>
        <v>13024125</v>
      </c>
      <c r="I763" s="8">
        <f t="shared" si="46"/>
        <v>10419300</v>
      </c>
      <c r="J763" s="8">
        <f t="shared" si="47"/>
        <v>2604825</v>
      </c>
      <c r="K763" s="9">
        <v>45702</v>
      </c>
      <c r="L763" s="10">
        <f>Table1[[#This Row],[Profit]]/Table1[[#This Row],[Sales]]</f>
        <v>0.2</v>
      </c>
    </row>
    <row r="764" spans="1:12">
      <c r="A764" t="s">
        <v>23</v>
      </c>
      <c r="B764" t="s">
        <v>51</v>
      </c>
      <c r="C764" t="s">
        <v>63</v>
      </c>
      <c r="D764" t="s">
        <v>14</v>
      </c>
      <c r="E764" s="7">
        <v>1286</v>
      </c>
      <c r="F764" s="8">
        <v>10800</v>
      </c>
      <c r="G764" s="8">
        <f t="shared" si="44"/>
        <v>13500</v>
      </c>
      <c r="H764" s="8">
        <f t="shared" si="45"/>
        <v>17361000</v>
      </c>
      <c r="I764" s="8">
        <f t="shared" si="46"/>
        <v>13888800</v>
      </c>
      <c r="J764" s="8">
        <f t="shared" si="47"/>
        <v>3472200</v>
      </c>
      <c r="K764" s="9">
        <v>45703</v>
      </c>
      <c r="L764" s="10">
        <f>Table1[[#This Row],[Profit]]/Table1[[#This Row],[Sales]]</f>
        <v>0.2</v>
      </c>
    </row>
    <row r="765" spans="1:12">
      <c r="A765" t="s">
        <v>23</v>
      </c>
      <c r="B765" t="s">
        <v>97</v>
      </c>
      <c r="C765" t="s">
        <v>63</v>
      </c>
      <c r="D765" t="s">
        <v>14</v>
      </c>
      <c r="E765" s="7">
        <v>869</v>
      </c>
      <c r="F765" s="8">
        <v>13700</v>
      </c>
      <c r="G765" s="8">
        <f t="shared" si="44"/>
        <v>17125</v>
      </c>
      <c r="H765" s="8">
        <f t="shared" si="45"/>
        <v>14881625</v>
      </c>
      <c r="I765" s="8">
        <f t="shared" si="46"/>
        <v>11905300</v>
      </c>
      <c r="J765" s="8">
        <f t="shared" si="47"/>
        <v>2976325</v>
      </c>
      <c r="K765" s="9">
        <v>45703</v>
      </c>
      <c r="L765" s="10">
        <f>Table1[[#This Row],[Profit]]/Table1[[#This Row],[Sales]]</f>
        <v>0.2</v>
      </c>
    </row>
    <row r="766" spans="1:12">
      <c r="A766" t="s">
        <v>23</v>
      </c>
      <c r="B766" t="s">
        <v>62</v>
      </c>
      <c r="C766" t="s">
        <v>68</v>
      </c>
      <c r="D766" t="s">
        <v>14</v>
      </c>
      <c r="E766" s="7">
        <v>2035</v>
      </c>
      <c r="F766" s="8">
        <v>5200</v>
      </c>
      <c r="G766" s="8">
        <f t="shared" si="44"/>
        <v>6500</v>
      </c>
      <c r="H766" s="8">
        <f t="shared" si="45"/>
        <v>13227500</v>
      </c>
      <c r="I766" s="8">
        <f t="shared" si="46"/>
        <v>10582000</v>
      </c>
      <c r="J766" s="8">
        <f t="shared" si="47"/>
        <v>2645500</v>
      </c>
      <c r="K766" s="9">
        <v>45703</v>
      </c>
      <c r="L766" s="10">
        <f>Table1[[#This Row],[Profit]]/Table1[[#This Row],[Sales]]</f>
        <v>0.2</v>
      </c>
    </row>
    <row r="767" spans="1:12">
      <c r="A767" t="s">
        <v>23</v>
      </c>
      <c r="B767" t="s">
        <v>97</v>
      </c>
      <c r="C767" t="s">
        <v>79</v>
      </c>
      <c r="D767" t="s">
        <v>14</v>
      </c>
      <c r="E767" s="7">
        <v>2269</v>
      </c>
      <c r="F767" s="8">
        <v>6300</v>
      </c>
      <c r="G767" s="8">
        <f t="shared" si="44"/>
        <v>7875</v>
      </c>
      <c r="H767" s="8">
        <f t="shared" si="45"/>
        <v>17868375</v>
      </c>
      <c r="I767" s="8">
        <f t="shared" si="46"/>
        <v>14294700</v>
      </c>
      <c r="J767" s="8">
        <f t="shared" si="47"/>
        <v>3573675</v>
      </c>
      <c r="K767" s="9">
        <v>45705</v>
      </c>
      <c r="L767" s="10">
        <f>Table1[[#This Row],[Profit]]/Table1[[#This Row],[Sales]]</f>
        <v>0.2</v>
      </c>
    </row>
    <row r="768" spans="1:12">
      <c r="A768" t="s">
        <v>23</v>
      </c>
      <c r="B768" t="s">
        <v>88</v>
      </c>
      <c r="C768" t="s">
        <v>37</v>
      </c>
      <c r="D768" t="s">
        <v>14</v>
      </c>
      <c r="E768" s="7">
        <v>1087</v>
      </c>
      <c r="F768" s="8">
        <v>15500</v>
      </c>
      <c r="G768" s="8">
        <f t="shared" si="44"/>
        <v>19375</v>
      </c>
      <c r="H768" s="8">
        <f t="shared" si="45"/>
        <v>21060625</v>
      </c>
      <c r="I768" s="8">
        <f t="shared" si="46"/>
        <v>16848500</v>
      </c>
      <c r="J768" s="8">
        <f t="shared" si="47"/>
        <v>4212125</v>
      </c>
      <c r="K768" s="9">
        <v>45711</v>
      </c>
      <c r="L768" s="10">
        <f>Table1[[#This Row],[Profit]]/Table1[[#This Row],[Sales]]</f>
        <v>0.2</v>
      </c>
    </row>
    <row r="769" spans="1:12">
      <c r="A769" t="s">
        <v>23</v>
      </c>
      <c r="B769" t="s">
        <v>62</v>
      </c>
      <c r="C769" t="s">
        <v>34</v>
      </c>
      <c r="D769" t="s">
        <v>14</v>
      </c>
      <c r="E769" s="7">
        <v>871</v>
      </c>
      <c r="F769" s="8">
        <v>8100</v>
      </c>
      <c r="G769" s="8">
        <f t="shared" si="44"/>
        <v>10125</v>
      </c>
      <c r="H769" s="8">
        <f t="shared" si="45"/>
        <v>8818875</v>
      </c>
      <c r="I769" s="8">
        <f t="shared" si="46"/>
        <v>7055100</v>
      </c>
      <c r="J769" s="8">
        <f t="shared" si="47"/>
        <v>1763775</v>
      </c>
      <c r="K769" s="9">
        <v>45711</v>
      </c>
      <c r="L769" s="10">
        <f>Table1[[#This Row],[Profit]]/Table1[[#This Row],[Sales]]</f>
        <v>0.2</v>
      </c>
    </row>
    <row r="770" spans="1:12">
      <c r="A770" t="s">
        <v>23</v>
      </c>
      <c r="B770" t="s">
        <v>39</v>
      </c>
      <c r="C770" t="s">
        <v>37</v>
      </c>
      <c r="D770" t="s">
        <v>14</v>
      </c>
      <c r="E770" s="7">
        <v>1168</v>
      </c>
      <c r="F770" s="8">
        <v>21100</v>
      </c>
      <c r="G770" s="8">
        <f t="shared" ref="G770:G833" si="48">ROUNDDOWN(F770/100,0)*100*1.25</f>
        <v>26375</v>
      </c>
      <c r="H770" s="8">
        <f t="shared" ref="H770:H833" si="49">E770*G770</f>
        <v>30806000</v>
      </c>
      <c r="I770" s="8">
        <f t="shared" ref="I770:I833" si="50">E770*F770</f>
        <v>24644800</v>
      </c>
      <c r="J770" s="8">
        <f t="shared" ref="J770:J833" si="51">H770-I770</f>
        <v>6161200</v>
      </c>
      <c r="K770" s="9">
        <v>45712</v>
      </c>
      <c r="L770" s="10">
        <f>Table1[[#This Row],[Profit]]/Table1[[#This Row],[Sales]]</f>
        <v>0.2</v>
      </c>
    </row>
    <row r="771" spans="1:12">
      <c r="A771" t="s">
        <v>23</v>
      </c>
      <c r="B771" t="s">
        <v>97</v>
      </c>
      <c r="C771" t="s">
        <v>31</v>
      </c>
      <c r="D771" t="s">
        <v>14</v>
      </c>
      <c r="E771" s="7">
        <v>2630</v>
      </c>
      <c r="F771" s="8">
        <v>18600</v>
      </c>
      <c r="G771" s="8">
        <f t="shared" si="48"/>
        <v>23250</v>
      </c>
      <c r="H771" s="8">
        <f t="shared" si="49"/>
        <v>61147500</v>
      </c>
      <c r="I771" s="8">
        <f t="shared" si="50"/>
        <v>48918000</v>
      </c>
      <c r="J771" s="8">
        <f t="shared" si="51"/>
        <v>12229500</v>
      </c>
      <c r="K771" s="9">
        <v>45719</v>
      </c>
      <c r="L771" s="10">
        <f>Table1[[#This Row],[Profit]]/Table1[[#This Row],[Sales]]</f>
        <v>0.2</v>
      </c>
    </row>
    <row r="772" spans="1:12">
      <c r="A772" t="s">
        <v>23</v>
      </c>
      <c r="B772" t="s">
        <v>98</v>
      </c>
      <c r="C772" t="s">
        <v>21</v>
      </c>
      <c r="D772" t="s">
        <v>14</v>
      </c>
      <c r="E772" s="7">
        <v>300</v>
      </c>
      <c r="F772" s="8">
        <v>1500</v>
      </c>
      <c r="G772" s="8">
        <f t="shared" si="48"/>
        <v>1875</v>
      </c>
      <c r="H772" s="8">
        <f t="shared" si="49"/>
        <v>562500</v>
      </c>
      <c r="I772" s="8">
        <f t="shared" si="50"/>
        <v>450000</v>
      </c>
      <c r="J772" s="8">
        <f t="shared" si="51"/>
        <v>112500</v>
      </c>
      <c r="K772" s="9">
        <v>45720</v>
      </c>
      <c r="L772" s="10">
        <f>Table1[[#This Row],[Profit]]/Table1[[#This Row],[Sales]]</f>
        <v>0.2</v>
      </c>
    </row>
    <row r="773" spans="1:12">
      <c r="A773" t="s">
        <v>23</v>
      </c>
      <c r="B773" t="s">
        <v>97</v>
      </c>
      <c r="C773" t="s">
        <v>31</v>
      </c>
      <c r="D773" t="s">
        <v>14</v>
      </c>
      <c r="E773" s="7">
        <v>1393</v>
      </c>
      <c r="F773" s="8">
        <v>7900</v>
      </c>
      <c r="G773" s="8">
        <f t="shared" si="48"/>
        <v>9875</v>
      </c>
      <c r="H773" s="8">
        <f t="shared" si="49"/>
        <v>13755875</v>
      </c>
      <c r="I773" s="8">
        <f t="shared" si="50"/>
        <v>11004700</v>
      </c>
      <c r="J773" s="8">
        <f t="shared" si="51"/>
        <v>2751175</v>
      </c>
      <c r="K773" s="9">
        <v>45720</v>
      </c>
      <c r="L773" s="10">
        <f>Table1[[#This Row],[Profit]]/Table1[[#This Row],[Sales]]</f>
        <v>0.2</v>
      </c>
    </row>
    <row r="774" spans="1:12">
      <c r="A774" t="s">
        <v>23</v>
      </c>
      <c r="B774" t="s">
        <v>20</v>
      </c>
      <c r="C774" t="s">
        <v>79</v>
      </c>
      <c r="D774" t="s">
        <v>14</v>
      </c>
      <c r="E774" s="7">
        <v>1087</v>
      </c>
      <c r="F774" s="8">
        <v>10300</v>
      </c>
      <c r="G774" s="8">
        <f t="shared" si="48"/>
        <v>12875</v>
      </c>
      <c r="H774" s="8">
        <f t="shared" si="49"/>
        <v>13995125</v>
      </c>
      <c r="I774" s="8">
        <f t="shared" si="50"/>
        <v>11196100</v>
      </c>
      <c r="J774" s="8">
        <f t="shared" si="51"/>
        <v>2799025</v>
      </c>
      <c r="K774" s="9">
        <v>45721</v>
      </c>
      <c r="L774" s="10">
        <f>Table1[[#This Row],[Profit]]/Table1[[#This Row],[Sales]]</f>
        <v>0.2</v>
      </c>
    </row>
    <row r="775" spans="1:12">
      <c r="A775" t="s">
        <v>23</v>
      </c>
      <c r="B775" t="s">
        <v>97</v>
      </c>
      <c r="C775" t="s">
        <v>63</v>
      </c>
      <c r="D775" t="s">
        <v>14</v>
      </c>
      <c r="E775" s="7">
        <v>1225</v>
      </c>
      <c r="F775" s="8">
        <v>2000</v>
      </c>
      <c r="G775" s="8">
        <f t="shared" si="48"/>
        <v>2500</v>
      </c>
      <c r="H775" s="8">
        <f t="shared" si="49"/>
        <v>3062500</v>
      </c>
      <c r="I775" s="8">
        <f t="shared" si="50"/>
        <v>2450000</v>
      </c>
      <c r="J775" s="8">
        <f t="shared" si="51"/>
        <v>612500</v>
      </c>
      <c r="K775" s="9">
        <v>45721</v>
      </c>
      <c r="L775" s="10">
        <f>Table1[[#This Row],[Profit]]/Table1[[#This Row],[Sales]]</f>
        <v>0.2</v>
      </c>
    </row>
    <row r="776" spans="1:12">
      <c r="A776" t="s">
        <v>23</v>
      </c>
      <c r="B776" t="s">
        <v>20</v>
      </c>
      <c r="C776" t="s">
        <v>34</v>
      </c>
      <c r="D776" t="s">
        <v>14</v>
      </c>
      <c r="E776" s="7">
        <v>1869</v>
      </c>
      <c r="F776" s="8">
        <v>15800</v>
      </c>
      <c r="G776" s="8">
        <f t="shared" si="48"/>
        <v>19750</v>
      </c>
      <c r="H776" s="8">
        <f t="shared" si="49"/>
        <v>36912750</v>
      </c>
      <c r="I776" s="8">
        <f t="shared" si="50"/>
        <v>29530200</v>
      </c>
      <c r="J776" s="8">
        <f t="shared" si="51"/>
        <v>7382550</v>
      </c>
      <c r="K776" s="9">
        <v>45724</v>
      </c>
      <c r="L776" s="10">
        <f>Table1[[#This Row],[Profit]]/Table1[[#This Row],[Sales]]</f>
        <v>0.2</v>
      </c>
    </row>
    <row r="777" spans="1:12">
      <c r="A777" t="s">
        <v>23</v>
      </c>
      <c r="B777" t="s">
        <v>88</v>
      </c>
      <c r="C777" t="s">
        <v>63</v>
      </c>
      <c r="D777" t="s">
        <v>14</v>
      </c>
      <c r="E777" s="7">
        <v>298</v>
      </c>
      <c r="F777" s="8">
        <v>19700</v>
      </c>
      <c r="G777" s="8">
        <f t="shared" si="48"/>
        <v>24625</v>
      </c>
      <c r="H777" s="8">
        <f t="shared" si="49"/>
        <v>7338250</v>
      </c>
      <c r="I777" s="8">
        <f t="shared" si="50"/>
        <v>5870600</v>
      </c>
      <c r="J777" s="8">
        <f t="shared" si="51"/>
        <v>1467650</v>
      </c>
      <c r="K777" s="9">
        <v>45726</v>
      </c>
      <c r="L777" s="10">
        <f>Table1[[#This Row],[Profit]]/Table1[[#This Row],[Sales]]</f>
        <v>0.2</v>
      </c>
    </row>
    <row r="778" spans="1:12">
      <c r="A778" t="s">
        <v>23</v>
      </c>
      <c r="B778" t="s">
        <v>97</v>
      </c>
      <c r="C778" t="s">
        <v>31</v>
      </c>
      <c r="D778" t="s">
        <v>14</v>
      </c>
      <c r="E778" s="7">
        <v>303</v>
      </c>
      <c r="F778" s="8">
        <v>3400</v>
      </c>
      <c r="G778" s="8">
        <f t="shared" si="48"/>
        <v>4250</v>
      </c>
      <c r="H778" s="8">
        <f t="shared" si="49"/>
        <v>1287750</v>
      </c>
      <c r="I778" s="8">
        <f t="shared" si="50"/>
        <v>1030200</v>
      </c>
      <c r="J778" s="8">
        <f t="shared" si="51"/>
        <v>257550</v>
      </c>
      <c r="K778" s="9">
        <v>45730</v>
      </c>
      <c r="L778" s="10">
        <f>Table1[[#This Row],[Profit]]/Table1[[#This Row],[Sales]]</f>
        <v>0.2</v>
      </c>
    </row>
    <row r="779" spans="1:12">
      <c r="A779" t="s">
        <v>23</v>
      </c>
      <c r="B779" t="s">
        <v>77</v>
      </c>
      <c r="C779" t="s">
        <v>13</v>
      </c>
      <c r="D779" t="s">
        <v>14</v>
      </c>
      <c r="E779" s="7">
        <v>2364</v>
      </c>
      <c r="F779" s="8">
        <v>21900</v>
      </c>
      <c r="G779" s="8">
        <f t="shared" si="48"/>
        <v>27375</v>
      </c>
      <c r="H779" s="8">
        <f t="shared" si="49"/>
        <v>64714500</v>
      </c>
      <c r="I779" s="8">
        <f t="shared" si="50"/>
        <v>51771600</v>
      </c>
      <c r="J779" s="8">
        <f t="shared" si="51"/>
        <v>12942900</v>
      </c>
      <c r="K779" s="9">
        <v>45730</v>
      </c>
      <c r="L779" s="10">
        <f>Table1[[#This Row],[Profit]]/Table1[[#This Row],[Sales]]</f>
        <v>0.2</v>
      </c>
    </row>
    <row r="780" spans="1:12">
      <c r="A780" t="s">
        <v>23</v>
      </c>
      <c r="B780" t="s">
        <v>51</v>
      </c>
      <c r="C780" t="s">
        <v>17</v>
      </c>
      <c r="D780" t="s">
        <v>14</v>
      </c>
      <c r="E780" s="7">
        <v>199</v>
      </c>
      <c r="F780" s="8">
        <v>4900</v>
      </c>
      <c r="G780" s="8">
        <f t="shared" si="48"/>
        <v>6125</v>
      </c>
      <c r="H780" s="8">
        <f t="shared" si="49"/>
        <v>1218875</v>
      </c>
      <c r="I780" s="8">
        <f t="shared" si="50"/>
        <v>975100</v>
      </c>
      <c r="J780" s="8">
        <f t="shared" si="51"/>
        <v>243775</v>
      </c>
      <c r="K780" s="9">
        <v>45730</v>
      </c>
      <c r="L780" s="10">
        <f>Table1[[#This Row],[Profit]]/Table1[[#This Row],[Sales]]</f>
        <v>0.2</v>
      </c>
    </row>
    <row r="781" spans="1:12">
      <c r="A781" t="s">
        <v>23</v>
      </c>
      <c r="B781" t="s">
        <v>62</v>
      </c>
      <c r="C781" t="s">
        <v>63</v>
      </c>
      <c r="D781" t="s">
        <v>14</v>
      </c>
      <c r="E781" s="7">
        <v>1662</v>
      </c>
      <c r="F781" s="8">
        <v>11700</v>
      </c>
      <c r="G781" s="8">
        <f t="shared" si="48"/>
        <v>14625</v>
      </c>
      <c r="H781" s="8">
        <f t="shared" si="49"/>
        <v>24306750</v>
      </c>
      <c r="I781" s="8">
        <f t="shared" si="50"/>
        <v>19445400</v>
      </c>
      <c r="J781" s="8">
        <f t="shared" si="51"/>
        <v>4861350</v>
      </c>
      <c r="K781" s="9">
        <v>45733</v>
      </c>
      <c r="L781" s="10">
        <f>Table1[[#This Row],[Profit]]/Table1[[#This Row],[Sales]]</f>
        <v>0.2</v>
      </c>
    </row>
    <row r="782" spans="1:12">
      <c r="A782" t="s">
        <v>23</v>
      </c>
      <c r="B782" t="s">
        <v>39</v>
      </c>
      <c r="C782" t="s">
        <v>27</v>
      </c>
      <c r="D782" t="s">
        <v>14</v>
      </c>
      <c r="E782" s="7">
        <v>793</v>
      </c>
      <c r="F782" s="8">
        <v>9800</v>
      </c>
      <c r="G782" s="8">
        <f t="shared" si="48"/>
        <v>12250</v>
      </c>
      <c r="H782" s="8">
        <f t="shared" si="49"/>
        <v>9714250</v>
      </c>
      <c r="I782" s="8">
        <f t="shared" si="50"/>
        <v>7771400</v>
      </c>
      <c r="J782" s="8">
        <f t="shared" si="51"/>
        <v>1942850</v>
      </c>
      <c r="K782" s="9">
        <v>45735</v>
      </c>
      <c r="L782" s="10">
        <f>Table1[[#This Row],[Profit]]/Table1[[#This Row],[Sales]]</f>
        <v>0.2</v>
      </c>
    </row>
    <row r="783" spans="1:12">
      <c r="A783" t="s">
        <v>23</v>
      </c>
      <c r="B783" t="s">
        <v>20</v>
      </c>
      <c r="C783" t="s">
        <v>79</v>
      </c>
      <c r="D783" t="s">
        <v>14</v>
      </c>
      <c r="E783" s="7">
        <v>1386</v>
      </c>
      <c r="F783" s="8">
        <v>18900</v>
      </c>
      <c r="G783" s="8">
        <f t="shared" si="48"/>
        <v>23625</v>
      </c>
      <c r="H783" s="8">
        <f t="shared" si="49"/>
        <v>32744250</v>
      </c>
      <c r="I783" s="8">
        <f t="shared" si="50"/>
        <v>26195400</v>
      </c>
      <c r="J783" s="8">
        <f t="shared" si="51"/>
        <v>6548850</v>
      </c>
      <c r="K783" s="9">
        <v>45735</v>
      </c>
      <c r="L783" s="10">
        <f>Table1[[#This Row],[Profit]]/Table1[[#This Row],[Sales]]</f>
        <v>0.2</v>
      </c>
    </row>
    <row r="784" spans="1:12">
      <c r="A784" t="s">
        <v>23</v>
      </c>
      <c r="B784" t="s">
        <v>20</v>
      </c>
      <c r="C784" t="s">
        <v>63</v>
      </c>
      <c r="D784" t="s">
        <v>14</v>
      </c>
      <c r="E784" s="7">
        <v>919</v>
      </c>
      <c r="F784" s="8">
        <v>16000</v>
      </c>
      <c r="G784" s="8">
        <f t="shared" si="48"/>
        <v>20000</v>
      </c>
      <c r="H784" s="8">
        <f t="shared" si="49"/>
        <v>18380000</v>
      </c>
      <c r="I784" s="8">
        <f t="shared" si="50"/>
        <v>14704000</v>
      </c>
      <c r="J784" s="8">
        <f t="shared" si="51"/>
        <v>3676000</v>
      </c>
      <c r="K784" s="9">
        <v>45739</v>
      </c>
      <c r="L784" s="10">
        <f>Table1[[#This Row],[Profit]]/Table1[[#This Row],[Sales]]</f>
        <v>0.2</v>
      </c>
    </row>
    <row r="785" spans="1:12">
      <c r="A785" t="s">
        <v>23</v>
      </c>
      <c r="B785" t="s">
        <v>51</v>
      </c>
      <c r="C785" t="s">
        <v>17</v>
      </c>
      <c r="D785" t="s">
        <v>14</v>
      </c>
      <c r="E785" s="7">
        <v>740</v>
      </c>
      <c r="F785" s="8">
        <v>13700</v>
      </c>
      <c r="G785" s="8">
        <f t="shared" si="48"/>
        <v>17125</v>
      </c>
      <c r="H785" s="8">
        <f t="shared" si="49"/>
        <v>12672500</v>
      </c>
      <c r="I785" s="8">
        <f t="shared" si="50"/>
        <v>10138000</v>
      </c>
      <c r="J785" s="8">
        <f t="shared" si="51"/>
        <v>2534500</v>
      </c>
      <c r="K785" s="9">
        <v>45739</v>
      </c>
      <c r="L785" s="10">
        <f>Table1[[#This Row],[Profit]]/Table1[[#This Row],[Sales]]</f>
        <v>0.2</v>
      </c>
    </row>
    <row r="786" spans="1:12">
      <c r="A786" t="s">
        <v>23</v>
      </c>
      <c r="B786" t="s">
        <v>77</v>
      </c>
      <c r="C786" t="s">
        <v>34</v>
      </c>
      <c r="D786" t="s">
        <v>14</v>
      </c>
      <c r="E786" s="7">
        <v>1010</v>
      </c>
      <c r="F786" s="8">
        <v>10200</v>
      </c>
      <c r="G786" s="8">
        <f t="shared" si="48"/>
        <v>12750</v>
      </c>
      <c r="H786" s="8">
        <f t="shared" si="49"/>
        <v>12877500</v>
      </c>
      <c r="I786" s="8">
        <f t="shared" si="50"/>
        <v>10302000</v>
      </c>
      <c r="J786" s="8">
        <f t="shared" si="51"/>
        <v>2575500</v>
      </c>
      <c r="K786" s="9">
        <v>45742</v>
      </c>
      <c r="L786" s="10">
        <f>Table1[[#This Row],[Profit]]/Table1[[#This Row],[Sales]]</f>
        <v>0.2</v>
      </c>
    </row>
    <row r="787" spans="1:12">
      <c r="A787" t="s">
        <v>23</v>
      </c>
      <c r="B787" t="s">
        <v>77</v>
      </c>
      <c r="C787" t="s">
        <v>21</v>
      </c>
      <c r="D787" t="s">
        <v>14</v>
      </c>
      <c r="E787" s="7">
        <v>2392</v>
      </c>
      <c r="F787" s="8">
        <v>11000</v>
      </c>
      <c r="G787" s="8">
        <f t="shared" si="48"/>
        <v>13750</v>
      </c>
      <c r="H787" s="8">
        <f t="shared" si="49"/>
        <v>32890000</v>
      </c>
      <c r="I787" s="8">
        <f t="shared" si="50"/>
        <v>26312000</v>
      </c>
      <c r="J787" s="8">
        <f t="shared" si="51"/>
        <v>6578000</v>
      </c>
      <c r="K787" s="9">
        <v>45742</v>
      </c>
      <c r="L787" s="10">
        <f>Table1[[#This Row],[Profit]]/Table1[[#This Row],[Sales]]</f>
        <v>0.2</v>
      </c>
    </row>
    <row r="788" spans="1:12">
      <c r="A788" t="s">
        <v>23</v>
      </c>
      <c r="B788" t="s">
        <v>98</v>
      </c>
      <c r="C788" t="s">
        <v>79</v>
      </c>
      <c r="D788" t="s">
        <v>14</v>
      </c>
      <c r="E788" s="7">
        <v>1678</v>
      </c>
      <c r="F788" s="8">
        <v>23500</v>
      </c>
      <c r="G788" s="8">
        <f t="shared" si="48"/>
        <v>29375</v>
      </c>
      <c r="H788" s="8">
        <f t="shared" si="49"/>
        <v>49291250</v>
      </c>
      <c r="I788" s="8">
        <f t="shared" si="50"/>
        <v>39433000</v>
      </c>
      <c r="J788" s="8">
        <f t="shared" si="51"/>
        <v>9858250</v>
      </c>
      <c r="K788" s="9">
        <v>45743</v>
      </c>
      <c r="L788" s="10">
        <f>Table1[[#This Row],[Profit]]/Table1[[#This Row],[Sales]]</f>
        <v>0.2</v>
      </c>
    </row>
    <row r="789" spans="1:12">
      <c r="A789" t="s">
        <v>23</v>
      </c>
      <c r="B789" t="s">
        <v>98</v>
      </c>
      <c r="C789" t="s">
        <v>63</v>
      </c>
      <c r="D789" t="s">
        <v>14</v>
      </c>
      <c r="E789" s="7">
        <v>878</v>
      </c>
      <c r="F789" s="8">
        <v>12700</v>
      </c>
      <c r="G789" s="8">
        <f t="shared" si="48"/>
        <v>15875</v>
      </c>
      <c r="H789" s="8">
        <f t="shared" si="49"/>
        <v>13938250</v>
      </c>
      <c r="I789" s="8">
        <f t="shared" si="50"/>
        <v>11150600</v>
      </c>
      <c r="J789" s="8">
        <f t="shared" si="51"/>
        <v>2787650</v>
      </c>
      <c r="K789" s="9">
        <v>45743</v>
      </c>
      <c r="L789" s="10">
        <f>Table1[[#This Row],[Profit]]/Table1[[#This Row],[Sales]]</f>
        <v>0.2</v>
      </c>
    </row>
    <row r="790" spans="1:12">
      <c r="A790" t="s">
        <v>23</v>
      </c>
      <c r="B790" t="s">
        <v>97</v>
      </c>
      <c r="C790" t="s">
        <v>13</v>
      </c>
      <c r="D790" t="s">
        <v>14</v>
      </c>
      <c r="E790" s="7">
        <v>391</v>
      </c>
      <c r="F790" s="8">
        <v>1600</v>
      </c>
      <c r="G790" s="8">
        <f t="shared" si="48"/>
        <v>2000</v>
      </c>
      <c r="H790" s="8">
        <f t="shared" si="49"/>
        <v>782000</v>
      </c>
      <c r="I790" s="8">
        <f t="shared" si="50"/>
        <v>625600</v>
      </c>
      <c r="J790" s="8">
        <f t="shared" si="51"/>
        <v>156400</v>
      </c>
      <c r="K790" s="9">
        <v>45745</v>
      </c>
      <c r="L790" s="10">
        <f>Table1[[#This Row],[Profit]]/Table1[[#This Row],[Sales]]</f>
        <v>0.2</v>
      </c>
    </row>
    <row r="791" spans="1:12">
      <c r="A791" t="s">
        <v>23</v>
      </c>
      <c r="B791" t="s">
        <v>62</v>
      </c>
      <c r="C791" t="s">
        <v>68</v>
      </c>
      <c r="D791" t="s">
        <v>14</v>
      </c>
      <c r="E791" s="7">
        <v>179</v>
      </c>
      <c r="F791" s="8">
        <v>6200</v>
      </c>
      <c r="G791" s="8">
        <f t="shared" si="48"/>
        <v>7750</v>
      </c>
      <c r="H791" s="8">
        <f t="shared" si="49"/>
        <v>1387250</v>
      </c>
      <c r="I791" s="8">
        <f t="shared" si="50"/>
        <v>1109800</v>
      </c>
      <c r="J791" s="8">
        <f t="shared" si="51"/>
        <v>277450</v>
      </c>
      <c r="K791" s="9">
        <v>45745</v>
      </c>
      <c r="L791" s="10">
        <f>Table1[[#This Row],[Profit]]/Table1[[#This Row],[Sales]]</f>
        <v>0.2</v>
      </c>
    </row>
    <row r="792" spans="1:12">
      <c r="A792" t="s">
        <v>23</v>
      </c>
      <c r="B792" t="s">
        <v>97</v>
      </c>
      <c r="C792" t="s">
        <v>17</v>
      </c>
      <c r="D792" t="s">
        <v>14</v>
      </c>
      <c r="E792" s="7">
        <v>1188</v>
      </c>
      <c r="F792" s="8">
        <v>9500</v>
      </c>
      <c r="G792" s="8">
        <f t="shared" si="48"/>
        <v>11875</v>
      </c>
      <c r="H792" s="8">
        <f t="shared" si="49"/>
        <v>14107500</v>
      </c>
      <c r="I792" s="8">
        <f t="shared" si="50"/>
        <v>11286000</v>
      </c>
      <c r="J792" s="8">
        <f t="shared" si="51"/>
        <v>2821500</v>
      </c>
      <c r="K792" s="9">
        <v>45746</v>
      </c>
      <c r="L792" s="10">
        <f>Table1[[#This Row],[Profit]]/Table1[[#This Row],[Sales]]</f>
        <v>0.2</v>
      </c>
    </row>
    <row r="793" spans="1:12">
      <c r="A793" t="s">
        <v>23</v>
      </c>
      <c r="B793" t="s">
        <v>39</v>
      </c>
      <c r="C793" t="s">
        <v>34</v>
      </c>
      <c r="D793" t="s">
        <v>14</v>
      </c>
      <c r="E793" s="7">
        <v>417</v>
      </c>
      <c r="F793" s="8">
        <v>3900</v>
      </c>
      <c r="G793" s="8">
        <f t="shared" si="48"/>
        <v>4875</v>
      </c>
      <c r="H793" s="8">
        <f t="shared" si="49"/>
        <v>2032875</v>
      </c>
      <c r="I793" s="8">
        <f t="shared" si="50"/>
        <v>1626300</v>
      </c>
      <c r="J793" s="8">
        <f t="shared" si="51"/>
        <v>406575</v>
      </c>
      <c r="K793" s="9">
        <v>45747</v>
      </c>
      <c r="L793" s="10">
        <f>Table1[[#This Row],[Profit]]/Table1[[#This Row],[Sales]]</f>
        <v>0.2</v>
      </c>
    </row>
    <row r="794" spans="1:12">
      <c r="A794" t="s">
        <v>23</v>
      </c>
      <c r="B794" t="s">
        <v>62</v>
      </c>
      <c r="C794" t="s">
        <v>13</v>
      </c>
      <c r="D794" t="s">
        <v>14</v>
      </c>
      <c r="E794" s="7">
        <v>602</v>
      </c>
      <c r="F794" s="8">
        <v>8600</v>
      </c>
      <c r="G794" s="8">
        <f t="shared" si="48"/>
        <v>10750</v>
      </c>
      <c r="H794" s="8">
        <f t="shared" si="49"/>
        <v>6471500</v>
      </c>
      <c r="I794" s="8">
        <f t="shared" si="50"/>
        <v>5177200</v>
      </c>
      <c r="J794" s="8">
        <f t="shared" si="51"/>
        <v>1294300</v>
      </c>
      <c r="K794" s="9">
        <v>45749</v>
      </c>
      <c r="L794" s="10">
        <f>Table1[[#This Row],[Profit]]/Table1[[#This Row],[Sales]]</f>
        <v>0.2</v>
      </c>
    </row>
    <row r="795" spans="1:12">
      <c r="A795" t="s">
        <v>23</v>
      </c>
      <c r="B795" t="s">
        <v>51</v>
      </c>
      <c r="C795" t="s">
        <v>34</v>
      </c>
      <c r="D795" t="s">
        <v>14</v>
      </c>
      <c r="E795" s="7">
        <v>213</v>
      </c>
      <c r="F795" s="8">
        <v>23700</v>
      </c>
      <c r="G795" s="8">
        <f t="shared" si="48"/>
        <v>29625</v>
      </c>
      <c r="H795" s="8">
        <f t="shared" si="49"/>
        <v>6310125</v>
      </c>
      <c r="I795" s="8">
        <f t="shared" si="50"/>
        <v>5048100</v>
      </c>
      <c r="J795" s="8">
        <f t="shared" si="51"/>
        <v>1262025</v>
      </c>
      <c r="K795" s="9">
        <v>45749</v>
      </c>
      <c r="L795" s="10">
        <f>Table1[[#This Row],[Profit]]/Table1[[#This Row],[Sales]]</f>
        <v>0.2</v>
      </c>
    </row>
    <row r="796" spans="1:12">
      <c r="A796" t="s">
        <v>23</v>
      </c>
      <c r="B796" t="s">
        <v>39</v>
      </c>
      <c r="C796" t="s">
        <v>79</v>
      </c>
      <c r="D796" t="s">
        <v>14</v>
      </c>
      <c r="E796" s="7">
        <v>1739</v>
      </c>
      <c r="F796" s="8">
        <v>4100</v>
      </c>
      <c r="G796" s="8">
        <f t="shared" si="48"/>
        <v>5125</v>
      </c>
      <c r="H796" s="8">
        <f t="shared" si="49"/>
        <v>8912375</v>
      </c>
      <c r="I796" s="8">
        <f t="shared" si="50"/>
        <v>7129900</v>
      </c>
      <c r="J796" s="8">
        <f t="shared" si="51"/>
        <v>1782475</v>
      </c>
      <c r="K796" s="9">
        <v>45749</v>
      </c>
      <c r="L796" s="10">
        <f>Table1[[#This Row],[Profit]]/Table1[[#This Row],[Sales]]</f>
        <v>0.2</v>
      </c>
    </row>
    <row r="797" spans="1:12">
      <c r="A797" t="s">
        <v>23</v>
      </c>
      <c r="B797" t="s">
        <v>62</v>
      </c>
      <c r="C797" t="s">
        <v>37</v>
      </c>
      <c r="D797" t="s">
        <v>14</v>
      </c>
      <c r="E797" s="7">
        <v>1321</v>
      </c>
      <c r="F797" s="8">
        <v>4800</v>
      </c>
      <c r="G797" s="8">
        <f t="shared" si="48"/>
        <v>6000</v>
      </c>
      <c r="H797" s="8">
        <f t="shared" si="49"/>
        <v>7926000</v>
      </c>
      <c r="I797" s="8">
        <f t="shared" si="50"/>
        <v>6340800</v>
      </c>
      <c r="J797" s="8">
        <f t="shared" si="51"/>
        <v>1585200</v>
      </c>
      <c r="K797" s="9">
        <v>45752</v>
      </c>
      <c r="L797" s="10">
        <f>Table1[[#This Row],[Profit]]/Table1[[#This Row],[Sales]]</f>
        <v>0.2</v>
      </c>
    </row>
    <row r="798" spans="1:12">
      <c r="A798" t="s">
        <v>23</v>
      </c>
      <c r="B798" t="s">
        <v>20</v>
      </c>
      <c r="C798" t="s">
        <v>13</v>
      </c>
      <c r="D798" t="s">
        <v>14</v>
      </c>
      <c r="E798" s="7">
        <v>2206</v>
      </c>
      <c r="F798" s="8">
        <v>22000</v>
      </c>
      <c r="G798" s="8">
        <f t="shared" si="48"/>
        <v>27500</v>
      </c>
      <c r="H798" s="8">
        <f t="shared" si="49"/>
        <v>60665000</v>
      </c>
      <c r="I798" s="8">
        <f t="shared" si="50"/>
        <v>48532000</v>
      </c>
      <c r="J798" s="8">
        <f t="shared" si="51"/>
        <v>12133000</v>
      </c>
      <c r="K798" s="9">
        <v>45752</v>
      </c>
      <c r="L798" s="10">
        <f>Table1[[#This Row],[Profit]]/Table1[[#This Row],[Sales]]</f>
        <v>0.2</v>
      </c>
    </row>
    <row r="799" spans="1:12">
      <c r="A799" t="s">
        <v>23</v>
      </c>
      <c r="B799" t="s">
        <v>39</v>
      </c>
      <c r="C799" t="s">
        <v>21</v>
      </c>
      <c r="D799" t="s">
        <v>14</v>
      </c>
      <c r="E799" s="7">
        <v>2167</v>
      </c>
      <c r="F799" s="8">
        <v>6800</v>
      </c>
      <c r="G799" s="8">
        <f t="shared" si="48"/>
        <v>8500</v>
      </c>
      <c r="H799" s="8">
        <f t="shared" si="49"/>
        <v>18419500</v>
      </c>
      <c r="I799" s="8">
        <f t="shared" si="50"/>
        <v>14735600</v>
      </c>
      <c r="J799" s="8">
        <f t="shared" si="51"/>
        <v>3683900</v>
      </c>
      <c r="K799" s="9">
        <v>45755</v>
      </c>
      <c r="L799" s="10">
        <f>Table1[[#This Row],[Profit]]/Table1[[#This Row],[Sales]]</f>
        <v>0.2</v>
      </c>
    </row>
    <row r="800" spans="1:12">
      <c r="A800" t="s">
        <v>23</v>
      </c>
      <c r="B800" t="s">
        <v>51</v>
      </c>
      <c r="C800" t="s">
        <v>17</v>
      </c>
      <c r="D800" t="s">
        <v>14</v>
      </c>
      <c r="E800" s="7">
        <v>1582</v>
      </c>
      <c r="F800" s="8">
        <v>2100</v>
      </c>
      <c r="G800" s="8">
        <f t="shared" si="48"/>
        <v>2625</v>
      </c>
      <c r="H800" s="8">
        <f t="shared" si="49"/>
        <v>4152750</v>
      </c>
      <c r="I800" s="8">
        <f t="shared" si="50"/>
        <v>3322200</v>
      </c>
      <c r="J800" s="8">
        <f t="shared" si="51"/>
        <v>830550</v>
      </c>
      <c r="K800" s="9">
        <v>45756</v>
      </c>
      <c r="L800" s="10">
        <f>Table1[[#This Row],[Profit]]/Table1[[#This Row],[Sales]]</f>
        <v>0.2</v>
      </c>
    </row>
    <row r="801" spans="1:12">
      <c r="A801" t="s">
        <v>23</v>
      </c>
      <c r="B801" t="s">
        <v>62</v>
      </c>
      <c r="C801" t="s">
        <v>27</v>
      </c>
      <c r="D801" t="s">
        <v>14</v>
      </c>
      <c r="E801" s="7">
        <v>2961</v>
      </c>
      <c r="F801" s="8">
        <v>16300</v>
      </c>
      <c r="G801" s="8">
        <f t="shared" si="48"/>
        <v>20375</v>
      </c>
      <c r="H801" s="8">
        <f t="shared" si="49"/>
        <v>60330375</v>
      </c>
      <c r="I801" s="8">
        <f t="shared" si="50"/>
        <v>48264300</v>
      </c>
      <c r="J801" s="8">
        <f t="shared" si="51"/>
        <v>12066075</v>
      </c>
      <c r="K801" s="9">
        <v>45757</v>
      </c>
      <c r="L801" s="10">
        <f>Table1[[#This Row],[Profit]]/Table1[[#This Row],[Sales]]</f>
        <v>0.2</v>
      </c>
    </row>
    <row r="802" spans="1:12">
      <c r="A802" t="s">
        <v>23</v>
      </c>
      <c r="B802" t="s">
        <v>20</v>
      </c>
      <c r="C802" t="s">
        <v>79</v>
      </c>
      <c r="D802" t="s">
        <v>14</v>
      </c>
      <c r="E802" s="7">
        <v>805</v>
      </c>
      <c r="F802" s="8">
        <v>12200</v>
      </c>
      <c r="G802" s="8">
        <f t="shared" si="48"/>
        <v>15250</v>
      </c>
      <c r="H802" s="8">
        <f t="shared" si="49"/>
        <v>12276250</v>
      </c>
      <c r="I802" s="8">
        <f t="shared" si="50"/>
        <v>9821000</v>
      </c>
      <c r="J802" s="8">
        <f t="shared" si="51"/>
        <v>2455250</v>
      </c>
      <c r="K802" s="9">
        <v>45758</v>
      </c>
      <c r="L802" s="10">
        <f>Table1[[#This Row],[Profit]]/Table1[[#This Row],[Sales]]</f>
        <v>0.2</v>
      </c>
    </row>
    <row r="803" spans="1:12">
      <c r="A803" t="s">
        <v>23</v>
      </c>
      <c r="B803" t="s">
        <v>98</v>
      </c>
      <c r="C803" t="s">
        <v>21</v>
      </c>
      <c r="D803" t="s">
        <v>14</v>
      </c>
      <c r="E803" s="7">
        <v>2620</v>
      </c>
      <c r="F803" s="8">
        <v>4500</v>
      </c>
      <c r="G803" s="8">
        <f t="shared" si="48"/>
        <v>5625</v>
      </c>
      <c r="H803" s="8">
        <f t="shared" si="49"/>
        <v>14737500</v>
      </c>
      <c r="I803" s="8">
        <f t="shared" si="50"/>
        <v>11790000</v>
      </c>
      <c r="J803" s="8">
        <f t="shared" si="51"/>
        <v>2947500</v>
      </c>
      <c r="K803" s="9">
        <v>45759</v>
      </c>
      <c r="L803" s="10">
        <f>Table1[[#This Row],[Profit]]/Table1[[#This Row],[Sales]]</f>
        <v>0.2</v>
      </c>
    </row>
    <row r="804" spans="1:12">
      <c r="A804" t="s">
        <v>23</v>
      </c>
      <c r="B804" t="s">
        <v>39</v>
      </c>
      <c r="C804" t="s">
        <v>17</v>
      </c>
      <c r="D804" t="s">
        <v>14</v>
      </c>
      <c r="E804" s="7">
        <v>1949</v>
      </c>
      <c r="F804" s="8">
        <v>4900</v>
      </c>
      <c r="G804" s="8">
        <f t="shared" si="48"/>
        <v>6125</v>
      </c>
      <c r="H804" s="8">
        <f t="shared" si="49"/>
        <v>11937625</v>
      </c>
      <c r="I804" s="8">
        <f t="shared" si="50"/>
        <v>9550100</v>
      </c>
      <c r="J804" s="8">
        <f t="shared" si="51"/>
        <v>2387525</v>
      </c>
      <c r="K804" s="9">
        <v>45759</v>
      </c>
      <c r="L804" s="10">
        <f>Table1[[#This Row],[Profit]]/Table1[[#This Row],[Sales]]</f>
        <v>0.2</v>
      </c>
    </row>
    <row r="805" spans="1:12">
      <c r="A805" t="s">
        <v>23</v>
      </c>
      <c r="B805" t="s">
        <v>77</v>
      </c>
      <c r="C805" t="s">
        <v>68</v>
      </c>
      <c r="D805" t="s">
        <v>14</v>
      </c>
      <c r="E805" s="7">
        <v>2882</v>
      </c>
      <c r="F805" s="8">
        <v>2900</v>
      </c>
      <c r="G805" s="8">
        <f t="shared" si="48"/>
        <v>3625</v>
      </c>
      <c r="H805" s="8">
        <f t="shared" si="49"/>
        <v>10447250</v>
      </c>
      <c r="I805" s="8">
        <f t="shared" si="50"/>
        <v>8357800</v>
      </c>
      <c r="J805" s="8">
        <f t="shared" si="51"/>
        <v>2089450</v>
      </c>
      <c r="K805" s="9">
        <v>45760</v>
      </c>
      <c r="L805" s="10">
        <f>Table1[[#This Row],[Profit]]/Table1[[#This Row],[Sales]]</f>
        <v>0.2</v>
      </c>
    </row>
    <row r="806" spans="1:12">
      <c r="A806" t="s">
        <v>23</v>
      </c>
      <c r="B806" t="s">
        <v>39</v>
      </c>
      <c r="C806" t="s">
        <v>37</v>
      </c>
      <c r="D806" t="s">
        <v>14</v>
      </c>
      <c r="E806" s="7">
        <v>1867</v>
      </c>
      <c r="F806" s="8">
        <v>22300</v>
      </c>
      <c r="G806" s="8">
        <f t="shared" si="48"/>
        <v>27875</v>
      </c>
      <c r="H806" s="8">
        <f t="shared" si="49"/>
        <v>52042625</v>
      </c>
      <c r="I806" s="8">
        <f t="shared" si="50"/>
        <v>41634100</v>
      </c>
      <c r="J806" s="8">
        <f t="shared" si="51"/>
        <v>10408525</v>
      </c>
      <c r="K806" s="9">
        <v>45761</v>
      </c>
      <c r="L806" s="10">
        <f>Table1[[#This Row],[Profit]]/Table1[[#This Row],[Sales]]</f>
        <v>0.2</v>
      </c>
    </row>
    <row r="807" spans="1:12">
      <c r="A807" t="s">
        <v>23</v>
      </c>
      <c r="B807" t="s">
        <v>77</v>
      </c>
      <c r="C807" t="s">
        <v>37</v>
      </c>
      <c r="D807" t="s">
        <v>14</v>
      </c>
      <c r="E807" s="7">
        <v>1967</v>
      </c>
      <c r="F807" s="8">
        <v>9400</v>
      </c>
      <c r="G807" s="8">
        <f t="shared" si="48"/>
        <v>11750</v>
      </c>
      <c r="H807" s="8">
        <f t="shared" si="49"/>
        <v>23112250</v>
      </c>
      <c r="I807" s="8">
        <f t="shared" si="50"/>
        <v>18489800</v>
      </c>
      <c r="J807" s="8">
        <f t="shared" si="51"/>
        <v>4622450</v>
      </c>
      <c r="K807" s="9">
        <v>45762</v>
      </c>
      <c r="L807" s="10">
        <f>Table1[[#This Row],[Profit]]/Table1[[#This Row],[Sales]]</f>
        <v>0.2</v>
      </c>
    </row>
    <row r="808" spans="1:12">
      <c r="A808" t="s">
        <v>23</v>
      </c>
      <c r="B808" t="s">
        <v>51</v>
      </c>
      <c r="C808" t="s">
        <v>21</v>
      </c>
      <c r="D808" t="s">
        <v>14</v>
      </c>
      <c r="E808" s="7">
        <v>1957</v>
      </c>
      <c r="F808" s="8">
        <v>17000</v>
      </c>
      <c r="G808" s="8">
        <f t="shared" si="48"/>
        <v>21250</v>
      </c>
      <c r="H808" s="8">
        <f t="shared" si="49"/>
        <v>41586250</v>
      </c>
      <c r="I808" s="8">
        <f t="shared" si="50"/>
        <v>33269000</v>
      </c>
      <c r="J808" s="8">
        <f t="shared" si="51"/>
        <v>8317250</v>
      </c>
      <c r="K808" s="9">
        <v>45762</v>
      </c>
      <c r="L808" s="10">
        <f>Table1[[#This Row],[Profit]]/Table1[[#This Row],[Sales]]</f>
        <v>0.2</v>
      </c>
    </row>
    <row r="809" spans="1:12">
      <c r="A809" t="s">
        <v>23</v>
      </c>
      <c r="B809" t="s">
        <v>88</v>
      </c>
      <c r="C809" t="s">
        <v>21</v>
      </c>
      <c r="D809" t="s">
        <v>14</v>
      </c>
      <c r="E809" s="7">
        <v>2226</v>
      </c>
      <c r="F809" s="8">
        <v>11700</v>
      </c>
      <c r="G809" s="8">
        <f t="shared" si="48"/>
        <v>14625</v>
      </c>
      <c r="H809" s="8">
        <f t="shared" si="49"/>
        <v>32555250</v>
      </c>
      <c r="I809" s="8">
        <f t="shared" si="50"/>
        <v>26044200</v>
      </c>
      <c r="J809" s="8">
        <f t="shared" si="51"/>
        <v>6511050</v>
      </c>
      <c r="K809" s="9">
        <v>45766</v>
      </c>
      <c r="L809" s="10">
        <f>Table1[[#This Row],[Profit]]/Table1[[#This Row],[Sales]]</f>
        <v>0.2</v>
      </c>
    </row>
    <row r="810" spans="1:12">
      <c r="A810" t="s">
        <v>23</v>
      </c>
      <c r="B810" t="s">
        <v>26</v>
      </c>
      <c r="C810" t="s">
        <v>79</v>
      </c>
      <c r="D810" t="s">
        <v>14</v>
      </c>
      <c r="E810" s="7">
        <v>343</v>
      </c>
      <c r="F810" s="8">
        <v>10500</v>
      </c>
      <c r="G810" s="8">
        <f t="shared" si="48"/>
        <v>13125</v>
      </c>
      <c r="H810" s="8">
        <f t="shared" si="49"/>
        <v>4501875</v>
      </c>
      <c r="I810" s="8">
        <f t="shared" si="50"/>
        <v>3601500</v>
      </c>
      <c r="J810" s="8">
        <f t="shared" si="51"/>
        <v>900375</v>
      </c>
      <c r="K810" s="9">
        <v>45768</v>
      </c>
      <c r="L810" s="10">
        <f>Table1[[#This Row],[Profit]]/Table1[[#This Row],[Sales]]</f>
        <v>0.2</v>
      </c>
    </row>
    <row r="811" spans="1:12">
      <c r="A811" t="s">
        <v>23</v>
      </c>
      <c r="B811" t="s">
        <v>77</v>
      </c>
      <c r="C811" t="s">
        <v>63</v>
      </c>
      <c r="D811" t="s">
        <v>14</v>
      </c>
      <c r="E811" s="7">
        <v>1681</v>
      </c>
      <c r="F811" s="8">
        <v>7800</v>
      </c>
      <c r="G811" s="8">
        <f t="shared" si="48"/>
        <v>9750</v>
      </c>
      <c r="H811" s="8">
        <f t="shared" si="49"/>
        <v>16389750</v>
      </c>
      <c r="I811" s="8">
        <f t="shared" si="50"/>
        <v>13111800</v>
      </c>
      <c r="J811" s="8">
        <f t="shared" si="51"/>
        <v>3277950</v>
      </c>
      <c r="K811" s="9">
        <v>45771</v>
      </c>
      <c r="L811" s="10">
        <f>Table1[[#This Row],[Profit]]/Table1[[#This Row],[Sales]]</f>
        <v>0.2</v>
      </c>
    </row>
    <row r="812" spans="1:12">
      <c r="A812" t="s">
        <v>23</v>
      </c>
      <c r="B812" t="s">
        <v>88</v>
      </c>
      <c r="C812" t="s">
        <v>31</v>
      </c>
      <c r="D812" t="s">
        <v>14</v>
      </c>
      <c r="E812" s="7">
        <v>1637</v>
      </c>
      <c r="F812" s="8">
        <v>20600</v>
      </c>
      <c r="G812" s="8">
        <f t="shared" si="48"/>
        <v>25750</v>
      </c>
      <c r="H812" s="8">
        <f t="shared" si="49"/>
        <v>42152750</v>
      </c>
      <c r="I812" s="8">
        <f t="shared" si="50"/>
        <v>33722200</v>
      </c>
      <c r="J812" s="8">
        <f t="shared" si="51"/>
        <v>8430550</v>
      </c>
      <c r="K812" s="9">
        <v>45773</v>
      </c>
      <c r="L812" s="10">
        <f>Table1[[#This Row],[Profit]]/Table1[[#This Row],[Sales]]</f>
        <v>0.2</v>
      </c>
    </row>
    <row r="813" spans="1:12">
      <c r="A813" t="s">
        <v>23</v>
      </c>
      <c r="B813" t="s">
        <v>20</v>
      </c>
      <c r="C813" t="s">
        <v>21</v>
      </c>
      <c r="D813" t="s">
        <v>14</v>
      </c>
      <c r="E813" s="7">
        <v>1613</v>
      </c>
      <c r="F813" s="8">
        <v>22300</v>
      </c>
      <c r="G813" s="8">
        <f t="shared" si="48"/>
        <v>27875</v>
      </c>
      <c r="H813" s="8">
        <f t="shared" si="49"/>
        <v>44962375</v>
      </c>
      <c r="I813" s="8">
        <f t="shared" si="50"/>
        <v>35969900</v>
      </c>
      <c r="J813" s="8">
        <f t="shared" si="51"/>
        <v>8992475</v>
      </c>
      <c r="K813" s="9">
        <v>45773</v>
      </c>
      <c r="L813" s="10">
        <f>Table1[[#This Row],[Profit]]/Table1[[#This Row],[Sales]]</f>
        <v>0.2</v>
      </c>
    </row>
    <row r="814" spans="1:12">
      <c r="A814" t="s">
        <v>23</v>
      </c>
      <c r="B814" t="s">
        <v>51</v>
      </c>
      <c r="C814" t="s">
        <v>68</v>
      </c>
      <c r="D814" t="s">
        <v>14</v>
      </c>
      <c r="E814" s="7">
        <v>1967</v>
      </c>
      <c r="F814" s="8">
        <v>19200</v>
      </c>
      <c r="G814" s="8">
        <f t="shared" si="48"/>
        <v>24000</v>
      </c>
      <c r="H814" s="8">
        <f t="shared" si="49"/>
        <v>47208000</v>
      </c>
      <c r="I814" s="8">
        <f t="shared" si="50"/>
        <v>37766400</v>
      </c>
      <c r="J814" s="8">
        <f t="shared" si="51"/>
        <v>9441600</v>
      </c>
      <c r="K814" s="9">
        <v>45773</v>
      </c>
      <c r="L814" s="10">
        <f>Table1[[#This Row],[Profit]]/Table1[[#This Row],[Sales]]</f>
        <v>0.2</v>
      </c>
    </row>
    <row r="815" spans="1:12">
      <c r="A815" t="s">
        <v>23</v>
      </c>
      <c r="B815" t="s">
        <v>26</v>
      </c>
      <c r="C815" t="s">
        <v>63</v>
      </c>
      <c r="D815" t="s">
        <v>14</v>
      </c>
      <c r="E815" s="7">
        <v>721</v>
      </c>
      <c r="F815" s="8">
        <v>20700</v>
      </c>
      <c r="G815" s="8">
        <f t="shared" si="48"/>
        <v>25875</v>
      </c>
      <c r="H815" s="8">
        <f t="shared" si="49"/>
        <v>18655875</v>
      </c>
      <c r="I815" s="8">
        <f t="shared" si="50"/>
        <v>14924700</v>
      </c>
      <c r="J815" s="8">
        <f t="shared" si="51"/>
        <v>3731175</v>
      </c>
      <c r="K815" s="9">
        <v>45775</v>
      </c>
      <c r="L815" s="10">
        <f>Table1[[#This Row],[Profit]]/Table1[[#This Row],[Sales]]</f>
        <v>0.2</v>
      </c>
    </row>
    <row r="816" spans="1:12">
      <c r="A816" t="s">
        <v>23</v>
      </c>
      <c r="B816" t="s">
        <v>36</v>
      </c>
      <c r="C816" t="s">
        <v>79</v>
      </c>
      <c r="D816" t="s">
        <v>14</v>
      </c>
      <c r="E816" s="7">
        <v>1570</v>
      </c>
      <c r="F816" s="8">
        <v>19300</v>
      </c>
      <c r="G816" s="8">
        <f t="shared" si="48"/>
        <v>24125</v>
      </c>
      <c r="H816" s="8">
        <f t="shared" si="49"/>
        <v>37876250</v>
      </c>
      <c r="I816" s="8">
        <f t="shared" si="50"/>
        <v>30301000</v>
      </c>
      <c r="J816" s="8">
        <f t="shared" si="51"/>
        <v>7575250</v>
      </c>
      <c r="K816" s="9">
        <v>45775</v>
      </c>
      <c r="L816" s="10">
        <f>Table1[[#This Row],[Profit]]/Table1[[#This Row],[Sales]]</f>
        <v>0.2</v>
      </c>
    </row>
    <row r="817" spans="1:12">
      <c r="A817" t="s">
        <v>23</v>
      </c>
      <c r="B817" t="s">
        <v>97</v>
      </c>
      <c r="C817" t="s">
        <v>37</v>
      </c>
      <c r="D817" t="s">
        <v>14</v>
      </c>
      <c r="E817" s="7">
        <v>1135</v>
      </c>
      <c r="F817" s="8">
        <v>20200</v>
      </c>
      <c r="G817" s="8">
        <f t="shared" si="48"/>
        <v>25250</v>
      </c>
      <c r="H817" s="8">
        <f t="shared" si="49"/>
        <v>28658750</v>
      </c>
      <c r="I817" s="8">
        <f t="shared" si="50"/>
        <v>22927000</v>
      </c>
      <c r="J817" s="8">
        <f t="shared" si="51"/>
        <v>5731750</v>
      </c>
      <c r="K817" s="9">
        <v>45775</v>
      </c>
      <c r="L817" s="10">
        <f>Table1[[#This Row],[Profit]]/Table1[[#This Row],[Sales]]</f>
        <v>0.2</v>
      </c>
    </row>
    <row r="818" spans="1:12">
      <c r="A818" t="s">
        <v>23</v>
      </c>
      <c r="B818" t="s">
        <v>62</v>
      </c>
      <c r="C818" t="s">
        <v>27</v>
      </c>
      <c r="D818" t="s">
        <v>14</v>
      </c>
      <c r="E818" s="7">
        <v>1388</v>
      </c>
      <c r="F818" s="8">
        <v>5800</v>
      </c>
      <c r="G818" s="8">
        <f t="shared" si="48"/>
        <v>7250</v>
      </c>
      <c r="H818" s="8">
        <f t="shared" si="49"/>
        <v>10063000</v>
      </c>
      <c r="I818" s="8">
        <f t="shared" si="50"/>
        <v>8050400</v>
      </c>
      <c r="J818" s="8">
        <f t="shared" si="51"/>
        <v>2012600</v>
      </c>
      <c r="K818" s="9">
        <v>45775</v>
      </c>
      <c r="L818" s="10">
        <f>Table1[[#This Row],[Profit]]/Table1[[#This Row],[Sales]]</f>
        <v>0.2</v>
      </c>
    </row>
    <row r="819" spans="1:12">
      <c r="A819" t="s">
        <v>23</v>
      </c>
      <c r="B819" t="s">
        <v>98</v>
      </c>
      <c r="C819" t="s">
        <v>79</v>
      </c>
      <c r="D819" t="s">
        <v>14</v>
      </c>
      <c r="E819" s="7">
        <v>1743</v>
      </c>
      <c r="F819" s="8">
        <v>16000</v>
      </c>
      <c r="G819" s="8">
        <f t="shared" si="48"/>
        <v>20000</v>
      </c>
      <c r="H819" s="8">
        <f t="shared" si="49"/>
        <v>34860000</v>
      </c>
      <c r="I819" s="8">
        <f t="shared" si="50"/>
        <v>27888000</v>
      </c>
      <c r="J819" s="8">
        <f t="shared" si="51"/>
        <v>6972000</v>
      </c>
      <c r="K819" s="9">
        <v>45776</v>
      </c>
      <c r="L819" s="10">
        <f>Table1[[#This Row],[Profit]]/Table1[[#This Row],[Sales]]</f>
        <v>0.2</v>
      </c>
    </row>
    <row r="820" spans="1:12">
      <c r="A820" t="s">
        <v>23</v>
      </c>
      <c r="B820" t="s">
        <v>88</v>
      </c>
      <c r="C820" t="s">
        <v>31</v>
      </c>
      <c r="D820" t="s">
        <v>14</v>
      </c>
      <c r="E820" s="7">
        <v>754</v>
      </c>
      <c r="F820" s="8">
        <v>12000</v>
      </c>
      <c r="G820" s="8">
        <f t="shared" si="48"/>
        <v>15000</v>
      </c>
      <c r="H820" s="8">
        <f t="shared" si="49"/>
        <v>11310000</v>
      </c>
      <c r="I820" s="8">
        <f t="shared" si="50"/>
        <v>9048000</v>
      </c>
      <c r="J820" s="8">
        <f t="shared" si="51"/>
        <v>2262000</v>
      </c>
      <c r="K820" s="9">
        <v>45778</v>
      </c>
      <c r="L820" s="10">
        <f>Table1[[#This Row],[Profit]]/Table1[[#This Row],[Sales]]</f>
        <v>0.2</v>
      </c>
    </row>
    <row r="821" spans="1:12">
      <c r="A821" t="s">
        <v>23</v>
      </c>
      <c r="B821" t="s">
        <v>98</v>
      </c>
      <c r="C821" t="s">
        <v>21</v>
      </c>
      <c r="D821" t="s">
        <v>14</v>
      </c>
      <c r="E821" s="7">
        <v>624</v>
      </c>
      <c r="F821" s="8">
        <v>11500</v>
      </c>
      <c r="G821" s="8">
        <f t="shared" si="48"/>
        <v>14375</v>
      </c>
      <c r="H821" s="8">
        <f t="shared" si="49"/>
        <v>8970000</v>
      </c>
      <c r="I821" s="8">
        <f t="shared" si="50"/>
        <v>7176000</v>
      </c>
      <c r="J821" s="8">
        <f t="shared" si="51"/>
        <v>1794000</v>
      </c>
      <c r="K821" s="9">
        <v>45780</v>
      </c>
      <c r="L821" s="10">
        <f>Table1[[#This Row],[Profit]]/Table1[[#This Row],[Sales]]</f>
        <v>0.2</v>
      </c>
    </row>
    <row r="822" spans="1:12">
      <c r="A822" t="s">
        <v>23</v>
      </c>
      <c r="B822" t="s">
        <v>51</v>
      </c>
      <c r="C822" t="s">
        <v>27</v>
      </c>
      <c r="D822" t="s">
        <v>14</v>
      </c>
      <c r="E822" s="7">
        <v>1642</v>
      </c>
      <c r="F822" s="8">
        <v>22700</v>
      </c>
      <c r="G822" s="8">
        <f t="shared" si="48"/>
        <v>28375</v>
      </c>
      <c r="H822" s="8">
        <f t="shared" si="49"/>
        <v>46591750</v>
      </c>
      <c r="I822" s="8">
        <f t="shared" si="50"/>
        <v>37273400</v>
      </c>
      <c r="J822" s="8">
        <f t="shared" si="51"/>
        <v>9318350</v>
      </c>
      <c r="K822" s="9">
        <v>45781</v>
      </c>
      <c r="L822" s="10">
        <f>Table1[[#This Row],[Profit]]/Table1[[#This Row],[Sales]]</f>
        <v>0.2</v>
      </c>
    </row>
    <row r="823" spans="1:12">
      <c r="A823" t="s">
        <v>23</v>
      </c>
      <c r="B823" t="s">
        <v>36</v>
      </c>
      <c r="C823" t="s">
        <v>37</v>
      </c>
      <c r="D823" t="s">
        <v>14</v>
      </c>
      <c r="E823" s="7">
        <v>1479</v>
      </c>
      <c r="F823" s="8">
        <v>5800</v>
      </c>
      <c r="G823" s="8">
        <f t="shared" si="48"/>
        <v>7250</v>
      </c>
      <c r="H823" s="8">
        <f t="shared" si="49"/>
        <v>10722750</v>
      </c>
      <c r="I823" s="8">
        <f t="shared" si="50"/>
        <v>8578200</v>
      </c>
      <c r="J823" s="8">
        <f t="shared" si="51"/>
        <v>2144550</v>
      </c>
      <c r="K823" s="9">
        <v>45784</v>
      </c>
      <c r="L823" s="10">
        <f>Table1[[#This Row],[Profit]]/Table1[[#This Row],[Sales]]</f>
        <v>0.2</v>
      </c>
    </row>
    <row r="824" spans="1:12">
      <c r="A824" t="s">
        <v>23</v>
      </c>
      <c r="B824" t="s">
        <v>62</v>
      </c>
      <c r="C824" t="s">
        <v>79</v>
      </c>
      <c r="D824" t="s">
        <v>14</v>
      </c>
      <c r="E824" s="7">
        <v>400</v>
      </c>
      <c r="F824" s="8">
        <v>13800</v>
      </c>
      <c r="G824" s="8">
        <f t="shared" si="48"/>
        <v>17250</v>
      </c>
      <c r="H824" s="8">
        <f t="shared" si="49"/>
        <v>6900000</v>
      </c>
      <c r="I824" s="8">
        <f t="shared" si="50"/>
        <v>5520000</v>
      </c>
      <c r="J824" s="8">
        <f t="shared" si="51"/>
        <v>1380000</v>
      </c>
      <c r="K824" s="9">
        <v>45789</v>
      </c>
      <c r="L824" s="10">
        <f>Table1[[#This Row],[Profit]]/Table1[[#This Row],[Sales]]</f>
        <v>0.2</v>
      </c>
    </row>
    <row r="825" spans="1:12">
      <c r="A825" t="s">
        <v>23</v>
      </c>
      <c r="B825" t="s">
        <v>62</v>
      </c>
      <c r="C825" t="s">
        <v>79</v>
      </c>
      <c r="D825" t="s">
        <v>14</v>
      </c>
      <c r="E825" s="7">
        <v>1577</v>
      </c>
      <c r="F825" s="8">
        <v>21500</v>
      </c>
      <c r="G825" s="8">
        <f t="shared" si="48"/>
        <v>26875</v>
      </c>
      <c r="H825" s="8">
        <f t="shared" si="49"/>
        <v>42381875</v>
      </c>
      <c r="I825" s="8">
        <f t="shared" si="50"/>
        <v>33905500</v>
      </c>
      <c r="J825" s="8">
        <f t="shared" si="51"/>
        <v>8476375</v>
      </c>
      <c r="K825" s="9">
        <v>45790</v>
      </c>
      <c r="L825" s="10">
        <f>Table1[[#This Row],[Profit]]/Table1[[#This Row],[Sales]]</f>
        <v>0.2</v>
      </c>
    </row>
    <row r="826" spans="1:12">
      <c r="A826" t="s">
        <v>23</v>
      </c>
      <c r="B826" t="s">
        <v>51</v>
      </c>
      <c r="C826" t="s">
        <v>27</v>
      </c>
      <c r="D826" t="s">
        <v>14</v>
      </c>
      <c r="E826" s="7">
        <v>910</v>
      </c>
      <c r="F826" s="8">
        <v>9500</v>
      </c>
      <c r="G826" s="8">
        <f t="shared" si="48"/>
        <v>11875</v>
      </c>
      <c r="H826" s="8">
        <f t="shared" si="49"/>
        <v>10806250</v>
      </c>
      <c r="I826" s="8">
        <f t="shared" si="50"/>
        <v>8645000</v>
      </c>
      <c r="J826" s="8">
        <f t="shared" si="51"/>
        <v>2161250</v>
      </c>
      <c r="K826" s="9">
        <v>45792</v>
      </c>
      <c r="L826" s="10">
        <f>Table1[[#This Row],[Profit]]/Table1[[#This Row],[Sales]]</f>
        <v>0.2</v>
      </c>
    </row>
    <row r="827" spans="1:12">
      <c r="A827" t="s">
        <v>23</v>
      </c>
      <c r="B827" t="s">
        <v>77</v>
      </c>
      <c r="C827" t="s">
        <v>17</v>
      </c>
      <c r="D827" t="s">
        <v>14</v>
      </c>
      <c r="E827" s="7">
        <v>1933</v>
      </c>
      <c r="F827" s="8">
        <v>22600</v>
      </c>
      <c r="G827" s="8">
        <f t="shared" si="48"/>
        <v>28250</v>
      </c>
      <c r="H827" s="8">
        <f t="shared" si="49"/>
        <v>54607250</v>
      </c>
      <c r="I827" s="8">
        <f t="shared" si="50"/>
        <v>43685800</v>
      </c>
      <c r="J827" s="8">
        <f t="shared" si="51"/>
        <v>10921450</v>
      </c>
      <c r="K827" s="9">
        <v>45792</v>
      </c>
      <c r="L827" s="10">
        <f>Table1[[#This Row],[Profit]]/Table1[[#This Row],[Sales]]</f>
        <v>0.2</v>
      </c>
    </row>
    <row r="828" spans="1:12">
      <c r="A828" t="s">
        <v>23</v>
      </c>
      <c r="B828" t="s">
        <v>26</v>
      </c>
      <c r="C828" t="s">
        <v>63</v>
      </c>
      <c r="D828" t="s">
        <v>14</v>
      </c>
      <c r="E828" s="7">
        <v>1963</v>
      </c>
      <c r="F828" s="8">
        <v>8500</v>
      </c>
      <c r="G828" s="8">
        <f t="shared" si="48"/>
        <v>10625</v>
      </c>
      <c r="H828" s="8">
        <f t="shared" si="49"/>
        <v>20856875</v>
      </c>
      <c r="I828" s="8">
        <f t="shared" si="50"/>
        <v>16685500</v>
      </c>
      <c r="J828" s="8">
        <f t="shared" si="51"/>
        <v>4171375</v>
      </c>
      <c r="K828" s="9">
        <v>45793</v>
      </c>
      <c r="L828" s="10">
        <f>Table1[[#This Row],[Profit]]/Table1[[#This Row],[Sales]]</f>
        <v>0.2</v>
      </c>
    </row>
    <row r="829" spans="1:12">
      <c r="A829" t="s">
        <v>23</v>
      </c>
      <c r="B829" t="s">
        <v>97</v>
      </c>
      <c r="C829" t="s">
        <v>21</v>
      </c>
      <c r="D829" t="s">
        <v>14</v>
      </c>
      <c r="E829" s="7">
        <v>2481</v>
      </c>
      <c r="F829" s="8">
        <v>6100</v>
      </c>
      <c r="G829" s="8">
        <f t="shared" si="48"/>
        <v>7625</v>
      </c>
      <c r="H829" s="8">
        <f t="shared" si="49"/>
        <v>18917625</v>
      </c>
      <c r="I829" s="8">
        <f t="shared" si="50"/>
        <v>15134100</v>
      </c>
      <c r="J829" s="8">
        <f t="shared" si="51"/>
        <v>3783525</v>
      </c>
      <c r="K829" s="9">
        <v>45794</v>
      </c>
      <c r="L829" s="10">
        <f>Table1[[#This Row],[Profit]]/Table1[[#This Row],[Sales]]</f>
        <v>0.2</v>
      </c>
    </row>
    <row r="830" spans="1:12">
      <c r="A830" t="s">
        <v>23</v>
      </c>
      <c r="B830" t="s">
        <v>77</v>
      </c>
      <c r="C830" t="s">
        <v>13</v>
      </c>
      <c r="D830" t="s">
        <v>14</v>
      </c>
      <c r="E830" s="7">
        <v>720</v>
      </c>
      <c r="F830" s="8">
        <v>20700</v>
      </c>
      <c r="G830" s="8">
        <f t="shared" si="48"/>
        <v>25875</v>
      </c>
      <c r="H830" s="8">
        <f t="shared" si="49"/>
        <v>18630000</v>
      </c>
      <c r="I830" s="8">
        <f t="shared" si="50"/>
        <v>14904000</v>
      </c>
      <c r="J830" s="8">
        <f t="shared" si="51"/>
        <v>3726000</v>
      </c>
      <c r="K830" s="9">
        <v>45795</v>
      </c>
      <c r="L830" s="10">
        <f>Table1[[#This Row],[Profit]]/Table1[[#This Row],[Sales]]</f>
        <v>0.2</v>
      </c>
    </row>
    <row r="831" spans="1:12">
      <c r="A831" t="s">
        <v>23</v>
      </c>
      <c r="B831" t="s">
        <v>39</v>
      </c>
      <c r="C831" t="s">
        <v>21</v>
      </c>
      <c r="D831" t="s">
        <v>14</v>
      </c>
      <c r="E831" s="7">
        <v>1032</v>
      </c>
      <c r="F831" s="8">
        <v>19000</v>
      </c>
      <c r="G831" s="8">
        <f t="shared" si="48"/>
        <v>23750</v>
      </c>
      <c r="H831" s="8">
        <f t="shared" si="49"/>
        <v>24510000</v>
      </c>
      <c r="I831" s="8">
        <f t="shared" si="50"/>
        <v>19608000</v>
      </c>
      <c r="J831" s="8">
        <f t="shared" si="51"/>
        <v>4902000</v>
      </c>
      <c r="K831" s="9">
        <v>45797</v>
      </c>
      <c r="L831" s="10">
        <f>Table1[[#This Row],[Profit]]/Table1[[#This Row],[Sales]]</f>
        <v>0.2</v>
      </c>
    </row>
    <row r="832" spans="1:12">
      <c r="A832" t="s">
        <v>23</v>
      </c>
      <c r="B832" t="s">
        <v>62</v>
      </c>
      <c r="C832" t="s">
        <v>34</v>
      </c>
      <c r="D832" t="s">
        <v>14</v>
      </c>
      <c r="E832" s="7">
        <v>1505</v>
      </c>
      <c r="F832" s="8">
        <v>18700</v>
      </c>
      <c r="G832" s="8">
        <f t="shared" si="48"/>
        <v>23375</v>
      </c>
      <c r="H832" s="8">
        <f t="shared" si="49"/>
        <v>35179375</v>
      </c>
      <c r="I832" s="8">
        <f t="shared" si="50"/>
        <v>28143500</v>
      </c>
      <c r="J832" s="8">
        <f t="shared" si="51"/>
        <v>7035875</v>
      </c>
      <c r="K832" s="9">
        <v>45797</v>
      </c>
      <c r="L832" s="10">
        <f>Table1[[#This Row],[Profit]]/Table1[[#This Row],[Sales]]</f>
        <v>0.2</v>
      </c>
    </row>
    <row r="833" spans="1:12">
      <c r="A833" t="s">
        <v>23</v>
      </c>
      <c r="B833" t="s">
        <v>88</v>
      </c>
      <c r="C833" t="s">
        <v>21</v>
      </c>
      <c r="D833" t="s">
        <v>14</v>
      </c>
      <c r="E833" s="7">
        <v>962</v>
      </c>
      <c r="F833" s="8">
        <v>7200</v>
      </c>
      <c r="G833" s="8">
        <f t="shared" si="48"/>
        <v>9000</v>
      </c>
      <c r="H833" s="8">
        <f t="shared" si="49"/>
        <v>8658000</v>
      </c>
      <c r="I833" s="8">
        <f t="shared" si="50"/>
        <v>6926400</v>
      </c>
      <c r="J833" s="8">
        <f t="shared" si="51"/>
        <v>1731600</v>
      </c>
      <c r="K833" s="9">
        <v>45801</v>
      </c>
      <c r="L833" s="10">
        <f>Table1[[#This Row],[Profit]]/Table1[[#This Row],[Sales]]</f>
        <v>0.2</v>
      </c>
    </row>
    <row r="834" spans="1:12">
      <c r="A834" t="s">
        <v>23</v>
      </c>
      <c r="B834" t="s">
        <v>97</v>
      </c>
      <c r="C834" t="s">
        <v>31</v>
      </c>
      <c r="D834" t="s">
        <v>14</v>
      </c>
      <c r="E834" s="7">
        <v>1472</v>
      </c>
      <c r="F834" s="8">
        <v>20400</v>
      </c>
      <c r="G834" s="8">
        <f t="shared" ref="G834:G897" si="52">ROUNDDOWN(F834/100,0)*100*1.25</f>
        <v>25500</v>
      </c>
      <c r="H834" s="8">
        <f t="shared" ref="H834:H897" si="53">E834*G834</f>
        <v>37536000</v>
      </c>
      <c r="I834" s="8">
        <f t="shared" ref="I834:I897" si="54">E834*F834</f>
        <v>30028800</v>
      </c>
      <c r="J834" s="8">
        <f t="shared" ref="J834:J897" si="55">H834-I834</f>
        <v>7507200</v>
      </c>
      <c r="K834" s="9">
        <v>45801</v>
      </c>
      <c r="L834" s="10">
        <f>Table1[[#This Row],[Profit]]/Table1[[#This Row],[Sales]]</f>
        <v>0.2</v>
      </c>
    </row>
    <row r="835" spans="1:12">
      <c r="A835" t="s">
        <v>23</v>
      </c>
      <c r="B835" t="s">
        <v>26</v>
      </c>
      <c r="C835" t="s">
        <v>27</v>
      </c>
      <c r="D835" t="s">
        <v>14</v>
      </c>
      <c r="E835" s="7">
        <v>1578</v>
      </c>
      <c r="F835" s="8">
        <v>5600</v>
      </c>
      <c r="G835" s="8">
        <f t="shared" si="52"/>
        <v>7000</v>
      </c>
      <c r="H835" s="8">
        <f t="shared" si="53"/>
        <v>11046000</v>
      </c>
      <c r="I835" s="8">
        <f t="shared" si="54"/>
        <v>8836800</v>
      </c>
      <c r="J835" s="8">
        <f t="shared" si="55"/>
        <v>2209200</v>
      </c>
      <c r="K835" s="9">
        <v>45801</v>
      </c>
      <c r="L835" s="10">
        <f>Table1[[#This Row],[Profit]]/Table1[[#This Row],[Sales]]</f>
        <v>0.2</v>
      </c>
    </row>
    <row r="836" spans="1:12">
      <c r="A836" t="s">
        <v>23</v>
      </c>
      <c r="B836" t="s">
        <v>97</v>
      </c>
      <c r="C836" t="s">
        <v>17</v>
      </c>
      <c r="D836" t="s">
        <v>14</v>
      </c>
      <c r="E836" s="7">
        <v>1341</v>
      </c>
      <c r="F836" s="8">
        <v>13400</v>
      </c>
      <c r="G836" s="8">
        <f t="shared" si="52"/>
        <v>16750</v>
      </c>
      <c r="H836" s="8">
        <f t="shared" si="53"/>
        <v>22461750</v>
      </c>
      <c r="I836" s="8">
        <f t="shared" si="54"/>
        <v>17969400</v>
      </c>
      <c r="J836" s="8">
        <f t="shared" si="55"/>
        <v>4492350</v>
      </c>
      <c r="K836" s="9">
        <v>45804</v>
      </c>
      <c r="L836" s="10">
        <f>Table1[[#This Row],[Profit]]/Table1[[#This Row],[Sales]]</f>
        <v>0.2</v>
      </c>
    </row>
    <row r="837" spans="1:12">
      <c r="A837" t="s">
        <v>23</v>
      </c>
      <c r="B837" t="s">
        <v>36</v>
      </c>
      <c r="C837" t="s">
        <v>34</v>
      </c>
      <c r="D837" t="s">
        <v>14</v>
      </c>
      <c r="E837" s="7">
        <v>1410</v>
      </c>
      <c r="F837" s="8">
        <v>17400</v>
      </c>
      <c r="G837" s="8">
        <f t="shared" si="52"/>
        <v>21750</v>
      </c>
      <c r="H837" s="8">
        <f t="shared" si="53"/>
        <v>30667500</v>
      </c>
      <c r="I837" s="8">
        <f t="shared" si="54"/>
        <v>24534000</v>
      </c>
      <c r="J837" s="8">
        <f t="shared" si="55"/>
        <v>6133500</v>
      </c>
      <c r="K837" s="9">
        <v>45806</v>
      </c>
      <c r="L837" s="10">
        <f>Table1[[#This Row],[Profit]]/Table1[[#This Row],[Sales]]</f>
        <v>0.2</v>
      </c>
    </row>
    <row r="838" spans="1:12">
      <c r="A838" t="s">
        <v>23</v>
      </c>
      <c r="B838" t="s">
        <v>77</v>
      </c>
      <c r="C838" t="s">
        <v>21</v>
      </c>
      <c r="D838" t="s">
        <v>14</v>
      </c>
      <c r="E838" s="7">
        <v>1854</v>
      </c>
      <c r="F838" s="8">
        <v>6300</v>
      </c>
      <c r="G838" s="8">
        <f t="shared" si="52"/>
        <v>7875</v>
      </c>
      <c r="H838" s="8">
        <f t="shared" si="53"/>
        <v>14600250</v>
      </c>
      <c r="I838" s="8">
        <f t="shared" si="54"/>
        <v>11680200</v>
      </c>
      <c r="J838" s="8">
        <f t="shared" si="55"/>
        <v>2920050</v>
      </c>
      <c r="K838" s="9">
        <v>45807</v>
      </c>
      <c r="L838" s="10">
        <f>Table1[[#This Row],[Profit]]/Table1[[#This Row],[Sales]]</f>
        <v>0.2</v>
      </c>
    </row>
    <row r="839" spans="1:12">
      <c r="A839" t="s">
        <v>23</v>
      </c>
      <c r="B839" t="s">
        <v>39</v>
      </c>
      <c r="C839" t="s">
        <v>79</v>
      </c>
      <c r="D839" t="s">
        <v>14</v>
      </c>
      <c r="E839" s="7">
        <v>420</v>
      </c>
      <c r="F839" s="8">
        <v>20800</v>
      </c>
      <c r="G839" s="8">
        <f t="shared" si="52"/>
        <v>26000</v>
      </c>
      <c r="H839" s="8">
        <f t="shared" si="53"/>
        <v>10920000</v>
      </c>
      <c r="I839" s="8">
        <f t="shared" si="54"/>
        <v>8736000</v>
      </c>
      <c r="J839" s="8">
        <f t="shared" si="55"/>
        <v>2184000</v>
      </c>
      <c r="K839" s="9">
        <v>45808</v>
      </c>
      <c r="L839" s="10">
        <f>Table1[[#This Row],[Profit]]/Table1[[#This Row],[Sales]]</f>
        <v>0.2</v>
      </c>
    </row>
    <row r="840" spans="1:12">
      <c r="A840" t="s">
        <v>23</v>
      </c>
      <c r="B840" t="s">
        <v>88</v>
      </c>
      <c r="C840" t="s">
        <v>68</v>
      </c>
      <c r="D840" t="s">
        <v>14</v>
      </c>
      <c r="E840" s="7">
        <v>2777</v>
      </c>
      <c r="F840" s="8">
        <v>2700</v>
      </c>
      <c r="G840" s="8">
        <f t="shared" si="52"/>
        <v>3375</v>
      </c>
      <c r="H840" s="8">
        <f t="shared" si="53"/>
        <v>9372375</v>
      </c>
      <c r="I840" s="8">
        <f t="shared" si="54"/>
        <v>7497900</v>
      </c>
      <c r="J840" s="8">
        <f t="shared" si="55"/>
        <v>1874475</v>
      </c>
      <c r="K840" s="9">
        <v>45809</v>
      </c>
      <c r="L840" s="10">
        <f>Table1[[#This Row],[Profit]]/Table1[[#This Row],[Sales]]</f>
        <v>0.2</v>
      </c>
    </row>
    <row r="841" spans="1:12">
      <c r="A841" t="s">
        <v>23</v>
      </c>
      <c r="B841" t="s">
        <v>36</v>
      </c>
      <c r="C841" t="s">
        <v>21</v>
      </c>
      <c r="D841" t="s">
        <v>14</v>
      </c>
      <c r="E841" s="7">
        <v>610</v>
      </c>
      <c r="F841" s="8">
        <v>4700</v>
      </c>
      <c r="G841" s="8">
        <f t="shared" si="52"/>
        <v>5875</v>
      </c>
      <c r="H841" s="8">
        <f t="shared" si="53"/>
        <v>3583750</v>
      </c>
      <c r="I841" s="8">
        <f t="shared" si="54"/>
        <v>2867000</v>
      </c>
      <c r="J841" s="8">
        <f t="shared" si="55"/>
        <v>716750</v>
      </c>
      <c r="K841" s="9">
        <v>45813</v>
      </c>
      <c r="L841" s="10">
        <f>Table1[[#This Row],[Profit]]/Table1[[#This Row],[Sales]]</f>
        <v>0.2</v>
      </c>
    </row>
    <row r="842" spans="1:12">
      <c r="A842" t="s">
        <v>23</v>
      </c>
      <c r="B842" t="s">
        <v>20</v>
      </c>
      <c r="C842" t="s">
        <v>17</v>
      </c>
      <c r="D842" t="s">
        <v>14</v>
      </c>
      <c r="E842" s="7">
        <v>2367</v>
      </c>
      <c r="F842" s="8">
        <v>5200</v>
      </c>
      <c r="G842" s="8">
        <f t="shared" si="52"/>
        <v>6500</v>
      </c>
      <c r="H842" s="8">
        <f t="shared" si="53"/>
        <v>15385500</v>
      </c>
      <c r="I842" s="8">
        <f t="shared" si="54"/>
        <v>12308400</v>
      </c>
      <c r="J842" s="8">
        <f t="shared" si="55"/>
        <v>3077100</v>
      </c>
      <c r="K842" s="9">
        <v>45815</v>
      </c>
      <c r="L842" s="10">
        <f>Table1[[#This Row],[Profit]]/Table1[[#This Row],[Sales]]</f>
        <v>0.2</v>
      </c>
    </row>
    <row r="843" spans="1:12">
      <c r="A843" t="s">
        <v>23</v>
      </c>
      <c r="B843" t="s">
        <v>88</v>
      </c>
      <c r="C843" t="s">
        <v>17</v>
      </c>
      <c r="D843" t="s">
        <v>14</v>
      </c>
      <c r="E843" s="7">
        <v>2049</v>
      </c>
      <c r="F843" s="8">
        <v>9100</v>
      </c>
      <c r="G843" s="8">
        <f t="shared" si="52"/>
        <v>11375</v>
      </c>
      <c r="H843" s="8">
        <f t="shared" si="53"/>
        <v>23307375</v>
      </c>
      <c r="I843" s="8">
        <f t="shared" si="54"/>
        <v>18645900</v>
      </c>
      <c r="J843" s="8">
        <f t="shared" si="55"/>
        <v>4661475</v>
      </c>
      <c r="K843" s="9">
        <v>45817</v>
      </c>
      <c r="L843" s="10">
        <f>Table1[[#This Row],[Profit]]/Table1[[#This Row],[Sales]]</f>
        <v>0.2</v>
      </c>
    </row>
    <row r="844" spans="1:12">
      <c r="A844" t="s">
        <v>23</v>
      </c>
      <c r="B844" t="s">
        <v>98</v>
      </c>
      <c r="C844" t="s">
        <v>37</v>
      </c>
      <c r="D844" t="s">
        <v>14</v>
      </c>
      <c r="E844" s="7">
        <v>790</v>
      </c>
      <c r="F844" s="8">
        <v>20200</v>
      </c>
      <c r="G844" s="8">
        <f t="shared" si="52"/>
        <v>25250</v>
      </c>
      <c r="H844" s="8">
        <f t="shared" si="53"/>
        <v>19947500</v>
      </c>
      <c r="I844" s="8">
        <f t="shared" si="54"/>
        <v>15958000</v>
      </c>
      <c r="J844" s="8">
        <f t="shared" si="55"/>
        <v>3989500</v>
      </c>
      <c r="K844" s="9">
        <v>45818</v>
      </c>
      <c r="L844" s="10">
        <f>Table1[[#This Row],[Profit]]/Table1[[#This Row],[Sales]]</f>
        <v>0.2</v>
      </c>
    </row>
    <row r="845" spans="1:12">
      <c r="A845" t="s">
        <v>23</v>
      </c>
      <c r="B845" t="s">
        <v>77</v>
      </c>
      <c r="C845" t="s">
        <v>63</v>
      </c>
      <c r="D845" t="s">
        <v>14</v>
      </c>
      <c r="E845" s="7">
        <v>1857</v>
      </c>
      <c r="F845" s="8">
        <v>20088</v>
      </c>
      <c r="G845" s="8">
        <f t="shared" si="52"/>
        <v>25000</v>
      </c>
      <c r="H845" s="8">
        <f t="shared" si="53"/>
        <v>46425000</v>
      </c>
      <c r="I845" s="8">
        <f t="shared" si="54"/>
        <v>37303416</v>
      </c>
      <c r="J845" s="8">
        <f t="shared" si="55"/>
        <v>9121584</v>
      </c>
      <c r="K845" s="9">
        <v>45820</v>
      </c>
      <c r="L845" s="10">
        <f>Table1[[#This Row],[Profit]]/Table1[[#This Row],[Sales]]</f>
        <v>0.19647999999999999</v>
      </c>
    </row>
    <row r="846" spans="1:12">
      <c r="A846" t="s">
        <v>23</v>
      </c>
      <c r="B846" t="s">
        <v>77</v>
      </c>
      <c r="C846" t="s">
        <v>34</v>
      </c>
      <c r="D846" t="s">
        <v>14</v>
      </c>
      <c r="E846" s="7">
        <v>269</v>
      </c>
      <c r="F846" s="8">
        <v>14500</v>
      </c>
      <c r="G846" s="8">
        <f t="shared" si="52"/>
        <v>18125</v>
      </c>
      <c r="H846" s="8">
        <f t="shared" si="53"/>
        <v>4875625</v>
      </c>
      <c r="I846" s="8">
        <f t="shared" si="54"/>
        <v>3900500</v>
      </c>
      <c r="J846" s="8">
        <f t="shared" si="55"/>
        <v>975125</v>
      </c>
      <c r="K846" s="9">
        <v>45821</v>
      </c>
      <c r="L846" s="10">
        <f>Table1[[#This Row],[Profit]]/Table1[[#This Row],[Sales]]</f>
        <v>0.2</v>
      </c>
    </row>
    <row r="847" spans="1:12">
      <c r="A847" t="s">
        <v>23</v>
      </c>
      <c r="B847" t="s">
        <v>36</v>
      </c>
      <c r="C847" t="s">
        <v>63</v>
      </c>
      <c r="D847" t="s">
        <v>14</v>
      </c>
      <c r="E847" s="7">
        <v>2302</v>
      </c>
      <c r="F847" s="8">
        <v>13600</v>
      </c>
      <c r="G847" s="8">
        <f t="shared" si="52"/>
        <v>17000</v>
      </c>
      <c r="H847" s="8">
        <f t="shared" si="53"/>
        <v>39134000</v>
      </c>
      <c r="I847" s="8">
        <f t="shared" si="54"/>
        <v>31307200</v>
      </c>
      <c r="J847" s="8">
        <f t="shared" si="55"/>
        <v>7826800</v>
      </c>
      <c r="K847" s="9">
        <v>45821</v>
      </c>
      <c r="L847" s="10">
        <f>Table1[[#This Row],[Profit]]/Table1[[#This Row],[Sales]]</f>
        <v>0.2</v>
      </c>
    </row>
    <row r="848" spans="1:12">
      <c r="A848" t="s">
        <v>23</v>
      </c>
      <c r="B848" t="s">
        <v>36</v>
      </c>
      <c r="C848" t="s">
        <v>37</v>
      </c>
      <c r="D848" t="s">
        <v>14</v>
      </c>
      <c r="E848" s="7">
        <v>516</v>
      </c>
      <c r="F848" s="8">
        <v>19800</v>
      </c>
      <c r="G848" s="8">
        <f t="shared" si="52"/>
        <v>24750</v>
      </c>
      <c r="H848" s="8">
        <f t="shared" si="53"/>
        <v>12771000</v>
      </c>
      <c r="I848" s="8">
        <f t="shared" si="54"/>
        <v>10216800</v>
      </c>
      <c r="J848" s="8">
        <f t="shared" si="55"/>
        <v>2554200</v>
      </c>
      <c r="K848" s="9">
        <v>45824</v>
      </c>
      <c r="L848" s="10">
        <f>Table1[[#This Row],[Profit]]/Table1[[#This Row],[Sales]]</f>
        <v>0.2</v>
      </c>
    </row>
    <row r="849" spans="1:12">
      <c r="A849" t="s">
        <v>23</v>
      </c>
      <c r="B849" t="s">
        <v>97</v>
      </c>
      <c r="C849" t="s">
        <v>37</v>
      </c>
      <c r="D849" t="s">
        <v>14</v>
      </c>
      <c r="E849" s="7">
        <v>534</v>
      </c>
      <c r="F849" s="8">
        <v>24900</v>
      </c>
      <c r="G849" s="8">
        <f t="shared" si="52"/>
        <v>31125</v>
      </c>
      <c r="H849" s="8">
        <f t="shared" si="53"/>
        <v>16620750</v>
      </c>
      <c r="I849" s="8">
        <f t="shared" si="54"/>
        <v>13296600</v>
      </c>
      <c r="J849" s="8">
        <f t="shared" si="55"/>
        <v>3324150</v>
      </c>
      <c r="K849" s="9">
        <v>45825</v>
      </c>
      <c r="L849" s="10">
        <f>Table1[[#This Row],[Profit]]/Table1[[#This Row],[Sales]]</f>
        <v>0.2</v>
      </c>
    </row>
    <row r="850" spans="1:12">
      <c r="A850" t="s">
        <v>23</v>
      </c>
      <c r="B850" t="s">
        <v>77</v>
      </c>
      <c r="C850" t="s">
        <v>31</v>
      </c>
      <c r="D850" t="s">
        <v>14</v>
      </c>
      <c r="E850" s="7">
        <v>2990</v>
      </c>
      <c r="F850" s="8">
        <v>9900</v>
      </c>
      <c r="G850" s="8">
        <f t="shared" si="52"/>
        <v>12375</v>
      </c>
      <c r="H850" s="8">
        <f t="shared" si="53"/>
        <v>37001250</v>
      </c>
      <c r="I850" s="8">
        <f t="shared" si="54"/>
        <v>29601000</v>
      </c>
      <c r="J850" s="8">
        <f t="shared" si="55"/>
        <v>7400250</v>
      </c>
      <c r="K850" s="9">
        <v>45829</v>
      </c>
      <c r="L850" s="10">
        <f>Table1[[#This Row],[Profit]]/Table1[[#This Row],[Sales]]</f>
        <v>0.2</v>
      </c>
    </row>
    <row r="851" spans="1:12">
      <c r="A851" t="s">
        <v>23</v>
      </c>
      <c r="B851" t="s">
        <v>62</v>
      </c>
      <c r="C851" t="s">
        <v>79</v>
      </c>
      <c r="D851" t="s">
        <v>14</v>
      </c>
      <c r="E851" s="7">
        <v>1138</v>
      </c>
      <c r="F851" s="8">
        <v>14000</v>
      </c>
      <c r="G851" s="8">
        <f t="shared" si="52"/>
        <v>17500</v>
      </c>
      <c r="H851" s="8">
        <f t="shared" si="53"/>
        <v>19915000</v>
      </c>
      <c r="I851" s="8">
        <f t="shared" si="54"/>
        <v>15932000</v>
      </c>
      <c r="J851" s="8">
        <f t="shared" si="55"/>
        <v>3983000</v>
      </c>
      <c r="K851" s="9">
        <v>45830</v>
      </c>
      <c r="L851" s="10">
        <f>Table1[[#This Row],[Profit]]/Table1[[#This Row],[Sales]]</f>
        <v>0.2</v>
      </c>
    </row>
    <row r="852" spans="1:12">
      <c r="A852" t="s">
        <v>23</v>
      </c>
      <c r="B852" t="s">
        <v>77</v>
      </c>
      <c r="C852" t="s">
        <v>79</v>
      </c>
      <c r="D852" t="s">
        <v>14</v>
      </c>
      <c r="E852" s="7">
        <v>1376</v>
      </c>
      <c r="F852" s="8">
        <v>23100</v>
      </c>
      <c r="G852" s="8">
        <f t="shared" si="52"/>
        <v>28875</v>
      </c>
      <c r="H852" s="8">
        <f t="shared" si="53"/>
        <v>39732000</v>
      </c>
      <c r="I852" s="8">
        <f t="shared" si="54"/>
        <v>31785600</v>
      </c>
      <c r="J852" s="8">
        <f t="shared" si="55"/>
        <v>7946400</v>
      </c>
      <c r="K852" s="9">
        <v>45831</v>
      </c>
      <c r="L852" s="10">
        <f>Table1[[#This Row],[Profit]]/Table1[[#This Row],[Sales]]</f>
        <v>0.2</v>
      </c>
    </row>
    <row r="853" spans="1:12">
      <c r="A853" t="s">
        <v>23</v>
      </c>
      <c r="B853" t="s">
        <v>62</v>
      </c>
      <c r="C853" t="s">
        <v>63</v>
      </c>
      <c r="D853" t="s">
        <v>14</v>
      </c>
      <c r="E853" s="7">
        <v>1970</v>
      </c>
      <c r="F853" s="8">
        <v>3400</v>
      </c>
      <c r="G853" s="8">
        <f t="shared" si="52"/>
        <v>4250</v>
      </c>
      <c r="H853" s="8">
        <f t="shared" si="53"/>
        <v>8372500</v>
      </c>
      <c r="I853" s="8">
        <f t="shared" si="54"/>
        <v>6698000</v>
      </c>
      <c r="J853" s="8">
        <f t="shared" si="55"/>
        <v>1674500</v>
      </c>
      <c r="K853" s="9">
        <v>45832</v>
      </c>
      <c r="L853" s="10">
        <f>Table1[[#This Row],[Profit]]/Table1[[#This Row],[Sales]]</f>
        <v>0.2</v>
      </c>
    </row>
    <row r="854" spans="1:12">
      <c r="A854" t="s">
        <v>23</v>
      </c>
      <c r="B854" t="s">
        <v>26</v>
      </c>
      <c r="C854" t="s">
        <v>79</v>
      </c>
      <c r="D854" t="s">
        <v>14</v>
      </c>
      <c r="E854" s="7">
        <v>2043</v>
      </c>
      <c r="F854" s="8">
        <v>18900</v>
      </c>
      <c r="G854" s="8">
        <f t="shared" si="52"/>
        <v>23625</v>
      </c>
      <c r="H854" s="8">
        <f t="shared" si="53"/>
        <v>48265875</v>
      </c>
      <c r="I854" s="8">
        <f t="shared" si="54"/>
        <v>38612700</v>
      </c>
      <c r="J854" s="8">
        <f t="shared" si="55"/>
        <v>9653175</v>
      </c>
      <c r="K854" s="9">
        <v>45834</v>
      </c>
      <c r="L854" s="10">
        <f>Table1[[#This Row],[Profit]]/Table1[[#This Row],[Sales]]</f>
        <v>0.2</v>
      </c>
    </row>
    <row r="855" spans="1:12">
      <c r="A855" t="s">
        <v>23</v>
      </c>
      <c r="B855" t="s">
        <v>98</v>
      </c>
      <c r="C855" t="s">
        <v>37</v>
      </c>
      <c r="D855" t="s">
        <v>14</v>
      </c>
      <c r="E855" s="7">
        <v>2210</v>
      </c>
      <c r="F855" s="8">
        <v>2300</v>
      </c>
      <c r="G855" s="8">
        <f t="shared" si="52"/>
        <v>2875</v>
      </c>
      <c r="H855" s="8">
        <f t="shared" si="53"/>
        <v>6353750</v>
      </c>
      <c r="I855" s="8">
        <f t="shared" si="54"/>
        <v>5083000</v>
      </c>
      <c r="J855" s="8">
        <f t="shared" si="55"/>
        <v>1270750</v>
      </c>
      <c r="K855" s="9">
        <v>45834</v>
      </c>
      <c r="L855" s="10">
        <f>Table1[[#This Row],[Profit]]/Table1[[#This Row],[Sales]]</f>
        <v>0.2</v>
      </c>
    </row>
    <row r="856" spans="1:12">
      <c r="A856" t="s">
        <v>23</v>
      </c>
      <c r="B856" t="s">
        <v>97</v>
      </c>
      <c r="C856" t="s">
        <v>13</v>
      </c>
      <c r="D856" t="s">
        <v>14</v>
      </c>
      <c r="E856" s="7">
        <v>2664</v>
      </c>
      <c r="F856" s="8">
        <v>23500</v>
      </c>
      <c r="G856" s="8">
        <f t="shared" si="52"/>
        <v>29375</v>
      </c>
      <c r="H856" s="8">
        <f t="shared" si="53"/>
        <v>78255000</v>
      </c>
      <c r="I856" s="8">
        <f t="shared" si="54"/>
        <v>62604000</v>
      </c>
      <c r="J856" s="8">
        <f t="shared" si="55"/>
        <v>15651000</v>
      </c>
      <c r="K856" s="9">
        <v>45834</v>
      </c>
      <c r="L856" s="10">
        <f>Table1[[#This Row],[Profit]]/Table1[[#This Row],[Sales]]</f>
        <v>0.2</v>
      </c>
    </row>
    <row r="857" spans="1:12">
      <c r="A857" t="s">
        <v>23</v>
      </c>
      <c r="B857" t="s">
        <v>77</v>
      </c>
      <c r="C857" t="s">
        <v>68</v>
      </c>
      <c r="D857" t="s">
        <v>14</v>
      </c>
      <c r="E857" s="7">
        <v>2540</v>
      </c>
      <c r="F857" s="8">
        <v>3000</v>
      </c>
      <c r="G857" s="8">
        <f t="shared" si="52"/>
        <v>3750</v>
      </c>
      <c r="H857" s="8">
        <f t="shared" si="53"/>
        <v>9525000</v>
      </c>
      <c r="I857" s="8">
        <f t="shared" si="54"/>
        <v>7620000</v>
      </c>
      <c r="J857" s="8">
        <f t="shared" si="55"/>
        <v>1905000</v>
      </c>
      <c r="K857" s="9">
        <v>45835</v>
      </c>
      <c r="L857" s="10">
        <f>Table1[[#This Row],[Profit]]/Table1[[#This Row],[Sales]]</f>
        <v>0.2</v>
      </c>
    </row>
    <row r="858" spans="1:12">
      <c r="A858" t="s">
        <v>23</v>
      </c>
      <c r="B858" t="s">
        <v>51</v>
      </c>
      <c r="C858" t="s">
        <v>79</v>
      </c>
      <c r="D858" t="s">
        <v>14</v>
      </c>
      <c r="E858" s="7">
        <v>1847</v>
      </c>
      <c r="F858" s="8">
        <v>5600</v>
      </c>
      <c r="G858" s="8">
        <f t="shared" si="52"/>
        <v>7000</v>
      </c>
      <c r="H858" s="8">
        <f t="shared" si="53"/>
        <v>12929000</v>
      </c>
      <c r="I858" s="8">
        <f t="shared" si="54"/>
        <v>10343200</v>
      </c>
      <c r="J858" s="8">
        <f t="shared" si="55"/>
        <v>2585800</v>
      </c>
      <c r="K858" s="9">
        <v>45835</v>
      </c>
      <c r="L858" s="10">
        <f>Table1[[#This Row],[Profit]]/Table1[[#This Row],[Sales]]</f>
        <v>0.2</v>
      </c>
    </row>
    <row r="859" spans="1:12">
      <c r="A859" t="s">
        <v>23</v>
      </c>
      <c r="B859" t="s">
        <v>26</v>
      </c>
      <c r="C859" t="s">
        <v>17</v>
      </c>
      <c r="D859" t="s">
        <v>14</v>
      </c>
      <c r="E859" s="7">
        <v>2722</v>
      </c>
      <c r="F859" s="8">
        <v>24000</v>
      </c>
      <c r="G859" s="8">
        <f t="shared" si="52"/>
        <v>30000</v>
      </c>
      <c r="H859" s="8">
        <f t="shared" si="53"/>
        <v>81660000</v>
      </c>
      <c r="I859" s="8">
        <f t="shared" si="54"/>
        <v>65328000</v>
      </c>
      <c r="J859" s="8">
        <f t="shared" si="55"/>
        <v>16332000</v>
      </c>
      <c r="K859" s="9">
        <v>45836</v>
      </c>
      <c r="L859" s="10">
        <f>Table1[[#This Row],[Profit]]/Table1[[#This Row],[Sales]]</f>
        <v>0.2</v>
      </c>
    </row>
    <row r="860" spans="1:12">
      <c r="A860" t="s">
        <v>23</v>
      </c>
      <c r="B860" t="s">
        <v>62</v>
      </c>
      <c r="C860" t="s">
        <v>27</v>
      </c>
      <c r="D860" t="s">
        <v>14</v>
      </c>
      <c r="E860" s="7">
        <v>2991</v>
      </c>
      <c r="F860" s="8">
        <v>21800</v>
      </c>
      <c r="G860" s="8">
        <f t="shared" si="52"/>
        <v>27250</v>
      </c>
      <c r="H860" s="8">
        <f t="shared" si="53"/>
        <v>81504750</v>
      </c>
      <c r="I860" s="8">
        <f t="shared" si="54"/>
        <v>65203800</v>
      </c>
      <c r="J860" s="8">
        <f t="shared" si="55"/>
        <v>16300950</v>
      </c>
      <c r="K860" s="9">
        <v>45837</v>
      </c>
      <c r="L860" s="10">
        <f>Table1[[#This Row],[Profit]]/Table1[[#This Row],[Sales]]</f>
        <v>0.2</v>
      </c>
    </row>
    <row r="861" spans="1:12">
      <c r="A861" t="s">
        <v>23</v>
      </c>
      <c r="B861" t="s">
        <v>62</v>
      </c>
      <c r="C861" t="s">
        <v>68</v>
      </c>
      <c r="D861" t="s">
        <v>14</v>
      </c>
      <c r="E861" s="7">
        <v>2526</v>
      </c>
      <c r="F861" s="8">
        <v>22800</v>
      </c>
      <c r="G861" s="8">
        <f t="shared" si="52"/>
        <v>28500</v>
      </c>
      <c r="H861" s="8">
        <f t="shared" si="53"/>
        <v>71991000</v>
      </c>
      <c r="I861" s="8">
        <f t="shared" si="54"/>
        <v>57592800</v>
      </c>
      <c r="J861" s="8">
        <f t="shared" si="55"/>
        <v>14398200</v>
      </c>
      <c r="K861" s="9">
        <v>45838</v>
      </c>
      <c r="L861" s="10">
        <f>Table1[[#This Row],[Profit]]/Table1[[#This Row],[Sales]]</f>
        <v>0.2</v>
      </c>
    </row>
    <row r="862" spans="1:12">
      <c r="A862" t="s">
        <v>23</v>
      </c>
      <c r="B862" t="s">
        <v>20</v>
      </c>
      <c r="C862" t="s">
        <v>37</v>
      </c>
      <c r="D862" t="s">
        <v>14</v>
      </c>
      <c r="E862" s="7">
        <v>2612</v>
      </c>
      <c r="F862" s="8">
        <v>17400</v>
      </c>
      <c r="G862" s="8">
        <f t="shared" si="52"/>
        <v>21750</v>
      </c>
      <c r="H862" s="8">
        <f t="shared" si="53"/>
        <v>56811000</v>
      </c>
      <c r="I862" s="8">
        <f t="shared" si="54"/>
        <v>45448800</v>
      </c>
      <c r="J862" s="8">
        <f t="shared" si="55"/>
        <v>11362200</v>
      </c>
      <c r="K862" s="9">
        <v>45840</v>
      </c>
      <c r="L862" s="10">
        <f>Table1[[#This Row],[Profit]]/Table1[[#This Row],[Sales]]</f>
        <v>0.2</v>
      </c>
    </row>
    <row r="863" spans="1:12">
      <c r="A863" t="s">
        <v>23</v>
      </c>
      <c r="B863" t="s">
        <v>36</v>
      </c>
      <c r="C863" t="s">
        <v>79</v>
      </c>
      <c r="D863" t="s">
        <v>14</v>
      </c>
      <c r="E863" s="7">
        <v>360</v>
      </c>
      <c r="F863" s="8">
        <v>7900</v>
      </c>
      <c r="G863" s="8">
        <f t="shared" si="52"/>
        <v>9875</v>
      </c>
      <c r="H863" s="8">
        <f t="shared" si="53"/>
        <v>3555000</v>
      </c>
      <c r="I863" s="8">
        <f t="shared" si="54"/>
        <v>2844000</v>
      </c>
      <c r="J863" s="8">
        <f t="shared" si="55"/>
        <v>711000</v>
      </c>
      <c r="K863" s="9">
        <v>45841</v>
      </c>
      <c r="L863" s="10">
        <f>Table1[[#This Row],[Profit]]/Table1[[#This Row],[Sales]]</f>
        <v>0.2</v>
      </c>
    </row>
    <row r="864" spans="1:12">
      <c r="A864" t="s">
        <v>23</v>
      </c>
      <c r="B864" t="s">
        <v>97</v>
      </c>
      <c r="C864" t="s">
        <v>37</v>
      </c>
      <c r="D864" t="s">
        <v>14</v>
      </c>
      <c r="E864" s="7">
        <v>597</v>
      </c>
      <c r="F864" s="8">
        <v>13300</v>
      </c>
      <c r="G864" s="8">
        <f t="shared" si="52"/>
        <v>16625</v>
      </c>
      <c r="H864" s="8">
        <f t="shared" si="53"/>
        <v>9925125</v>
      </c>
      <c r="I864" s="8">
        <f t="shared" si="54"/>
        <v>7940100</v>
      </c>
      <c r="J864" s="8">
        <f t="shared" si="55"/>
        <v>1985025</v>
      </c>
      <c r="K864" s="9">
        <v>45841</v>
      </c>
      <c r="L864" s="10">
        <f>Table1[[#This Row],[Profit]]/Table1[[#This Row],[Sales]]</f>
        <v>0.2</v>
      </c>
    </row>
    <row r="865" spans="1:12">
      <c r="A865" t="s">
        <v>23</v>
      </c>
      <c r="B865" t="s">
        <v>51</v>
      </c>
      <c r="C865" t="s">
        <v>31</v>
      </c>
      <c r="D865" t="s">
        <v>14</v>
      </c>
      <c r="E865" s="7">
        <v>224</v>
      </c>
      <c r="F865" s="8">
        <v>22800</v>
      </c>
      <c r="G865" s="8">
        <f t="shared" si="52"/>
        <v>28500</v>
      </c>
      <c r="H865" s="8">
        <f t="shared" si="53"/>
        <v>6384000</v>
      </c>
      <c r="I865" s="8">
        <f t="shared" si="54"/>
        <v>5107200</v>
      </c>
      <c r="J865" s="8">
        <f t="shared" si="55"/>
        <v>1276800</v>
      </c>
      <c r="K865" s="9">
        <v>45841</v>
      </c>
      <c r="L865" s="10">
        <f>Table1[[#This Row],[Profit]]/Table1[[#This Row],[Sales]]</f>
        <v>0.2</v>
      </c>
    </row>
    <row r="866" spans="1:12">
      <c r="A866" t="s">
        <v>23</v>
      </c>
      <c r="B866" t="s">
        <v>20</v>
      </c>
      <c r="C866" t="s">
        <v>63</v>
      </c>
      <c r="D866" t="s">
        <v>14</v>
      </c>
      <c r="E866" s="7">
        <v>396</v>
      </c>
      <c r="F866" s="8">
        <v>21500</v>
      </c>
      <c r="G866" s="8">
        <f t="shared" si="52"/>
        <v>26875</v>
      </c>
      <c r="H866" s="8">
        <f t="shared" si="53"/>
        <v>10642500</v>
      </c>
      <c r="I866" s="8">
        <f t="shared" si="54"/>
        <v>8514000</v>
      </c>
      <c r="J866" s="8">
        <f t="shared" si="55"/>
        <v>2128500</v>
      </c>
      <c r="K866" s="9">
        <v>45844</v>
      </c>
      <c r="L866" s="10">
        <f>Table1[[#This Row],[Profit]]/Table1[[#This Row],[Sales]]</f>
        <v>0.2</v>
      </c>
    </row>
    <row r="867" spans="1:12">
      <c r="A867" t="s">
        <v>23</v>
      </c>
      <c r="B867" t="s">
        <v>97</v>
      </c>
      <c r="C867" t="s">
        <v>13</v>
      </c>
      <c r="D867" t="s">
        <v>14</v>
      </c>
      <c r="E867" s="7">
        <v>1514</v>
      </c>
      <c r="F867" s="8">
        <v>13200</v>
      </c>
      <c r="G867" s="8">
        <f t="shared" si="52"/>
        <v>16500</v>
      </c>
      <c r="H867" s="8">
        <f t="shared" si="53"/>
        <v>24981000</v>
      </c>
      <c r="I867" s="8">
        <f t="shared" si="54"/>
        <v>19984800</v>
      </c>
      <c r="J867" s="8">
        <f t="shared" si="55"/>
        <v>4996200</v>
      </c>
      <c r="K867" s="9">
        <v>45846</v>
      </c>
      <c r="L867" s="10">
        <f>Table1[[#This Row],[Profit]]/Table1[[#This Row],[Sales]]</f>
        <v>0.2</v>
      </c>
    </row>
    <row r="868" spans="1:12">
      <c r="A868" t="s">
        <v>23</v>
      </c>
      <c r="B868" t="s">
        <v>20</v>
      </c>
      <c r="C868" t="s">
        <v>31</v>
      </c>
      <c r="D868" t="s">
        <v>14</v>
      </c>
      <c r="E868" s="7">
        <v>2468</v>
      </c>
      <c r="F868" s="8">
        <v>10700</v>
      </c>
      <c r="G868" s="8">
        <f t="shared" si="52"/>
        <v>13375</v>
      </c>
      <c r="H868" s="8">
        <f t="shared" si="53"/>
        <v>33009500</v>
      </c>
      <c r="I868" s="8">
        <f t="shared" si="54"/>
        <v>26407600</v>
      </c>
      <c r="J868" s="8">
        <f t="shared" si="55"/>
        <v>6601900</v>
      </c>
      <c r="K868" s="9">
        <v>45849</v>
      </c>
      <c r="L868" s="10">
        <f>Table1[[#This Row],[Profit]]/Table1[[#This Row],[Sales]]</f>
        <v>0.2</v>
      </c>
    </row>
    <row r="869" spans="1:12">
      <c r="A869" t="s">
        <v>23</v>
      </c>
      <c r="B869" t="s">
        <v>36</v>
      </c>
      <c r="C869" t="s">
        <v>79</v>
      </c>
      <c r="D869" t="s">
        <v>14</v>
      </c>
      <c r="E869" s="7">
        <v>2269</v>
      </c>
      <c r="F869" s="8">
        <v>2000</v>
      </c>
      <c r="G869" s="8">
        <f t="shared" si="52"/>
        <v>2500</v>
      </c>
      <c r="H869" s="8">
        <f t="shared" si="53"/>
        <v>5672500</v>
      </c>
      <c r="I869" s="8">
        <f t="shared" si="54"/>
        <v>4538000</v>
      </c>
      <c r="J869" s="8">
        <f t="shared" si="55"/>
        <v>1134500</v>
      </c>
      <c r="K869" s="9">
        <v>45852</v>
      </c>
      <c r="L869" s="10">
        <f>Table1[[#This Row],[Profit]]/Table1[[#This Row],[Sales]]</f>
        <v>0.2</v>
      </c>
    </row>
    <row r="870" spans="1:12">
      <c r="A870" t="s">
        <v>23</v>
      </c>
      <c r="B870" t="s">
        <v>77</v>
      </c>
      <c r="C870" t="s">
        <v>27</v>
      </c>
      <c r="D870" t="s">
        <v>14</v>
      </c>
      <c r="E870" s="7">
        <v>1571</v>
      </c>
      <c r="F870" s="8">
        <v>12400</v>
      </c>
      <c r="G870" s="8">
        <f t="shared" si="52"/>
        <v>15500</v>
      </c>
      <c r="H870" s="8">
        <f t="shared" si="53"/>
        <v>24350500</v>
      </c>
      <c r="I870" s="8">
        <f t="shared" si="54"/>
        <v>19480400</v>
      </c>
      <c r="J870" s="8">
        <f t="shared" si="55"/>
        <v>4870100</v>
      </c>
      <c r="K870" s="9">
        <v>45853</v>
      </c>
      <c r="L870" s="10">
        <f>Table1[[#This Row],[Profit]]/Table1[[#This Row],[Sales]]</f>
        <v>0.2</v>
      </c>
    </row>
    <row r="871" spans="1:12">
      <c r="A871" t="s">
        <v>23</v>
      </c>
      <c r="B871" t="s">
        <v>62</v>
      </c>
      <c r="C871" t="s">
        <v>68</v>
      </c>
      <c r="D871" t="s">
        <v>14</v>
      </c>
      <c r="E871" s="7">
        <v>1344</v>
      </c>
      <c r="F871" s="8">
        <v>17700</v>
      </c>
      <c r="G871" s="8">
        <f t="shared" si="52"/>
        <v>22125</v>
      </c>
      <c r="H871" s="8">
        <f t="shared" si="53"/>
        <v>29736000</v>
      </c>
      <c r="I871" s="8">
        <f t="shared" si="54"/>
        <v>23788800</v>
      </c>
      <c r="J871" s="8">
        <f t="shared" si="55"/>
        <v>5947200</v>
      </c>
      <c r="K871" s="9">
        <v>45853</v>
      </c>
      <c r="L871" s="10">
        <f>Table1[[#This Row],[Profit]]/Table1[[#This Row],[Sales]]</f>
        <v>0.2</v>
      </c>
    </row>
    <row r="872" spans="1:12">
      <c r="A872" t="s">
        <v>23</v>
      </c>
      <c r="B872" t="s">
        <v>26</v>
      </c>
      <c r="C872" t="s">
        <v>27</v>
      </c>
      <c r="D872" t="s">
        <v>14</v>
      </c>
      <c r="E872" s="7">
        <v>659</v>
      </c>
      <c r="F872" s="8">
        <v>11400</v>
      </c>
      <c r="G872" s="8">
        <f t="shared" si="52"/>
        <v>14250</v>
      </c>
      <c r="H872" s="8">
        <f t="shared" si="53"/>
        <v>9390750</v>
      </c>
      <c r="I872" s="8">
        <f t="shared" si="54"/>
        <v>7512600</v>
      </c>
      <c r="J872" s="8">
        <f t="shared" si="55"/>
        <v>1878150</v>
      </c>
      <c r="K872" s="9">
        <v>45853</v>
      </c>
      <c r="L872" s="10">
        <f>Table1[[#This Row],[Profit]]/Table1[[#This Row],[Sales]]</f>
        <v>0.2</v>
      </c>
    </row>
    <row r="873" spans="1:12">
      <c r="A873" t="s">
        <v>23</v>
      </c>
      <c r="B873" t="s">
        <v>26</v>
      </c>
      <c r="C873" t="s">
        <v>31</v>
      </c>
      <c r="D873" t="s">
        <v>14</v>
      </c>
      <c r="E873" s="7">
        <v>2648</v>
      </c>
      <c r="F873" s="8">
        <v>22300</v>
      </c>
      <c r="G873" s="8">
        <f t="shared" si="52"/>
        <v>27875</v>
      </c>
      <c r="H873" s="8">
        <f t="shared" si="53"/>
        <v>73813000</v>
      </c>
      <c r="I873" s="8">
        <f t="shared" si="54"/>
        <v>59050400</v>
      </c>
      <c r="J873" s="8">
        <f t="shared" si="55"/>
        <v>14762600</v>
      </c>
      <c r="K873" s="9">
        <v>45853</v>
      </c>
      <c r="L873" s="10">
        <f>Table1[[#This Row],[Profit]]/Table1[[#This Row],[Sales]]</f>
        <v>0.2</v>
      </c>
    </row>
    <row r="874" spans="1:12">
      <c r="A874" t="s">
        <v>23</v>
      </c>
      <c r="B874" t="s">
        <v>20</v>
      </c>
      <c r="C874" t="s">
        <v>21</v>
      </c>
      <c r="D874" t="s">
        <v>14</v>
      </c>
      <c r="E874" s="7">
        <v>2740</v>
      </c>
      <c r="F874" s="8">
        <v>9200</v>
      </c>
      <c r="G874" s="8">
        <f t="shared" si="52"/>
        <v>11500</v>
      </c>
      <c r="H874" s="8">
        <f t="shared" si="53"/>
        <v>31510000</v>
      </c>
      <c r="I874" s="8">
        <f t="shared" si="54"/>
        <v>25208000</v>
      </c>
      <c r="J874" s="8">
        <f t="shared" si="55"/>
        <v>6302000</v>
      </c>
      <c r="K874" s="9">
        <v>45854</v>
      </c>
      <c r="L874" s="10">
        <f>Table1[[#This Row],[Profit]]/Table1[[#This Row],[Sales]]</f>
        <v>0.2</v>
      </c>
    </row>
    <row r="875" spans="1:12">
      <c r="A875" t="s">
        <v>23</v>
      </c>
      <c r="B875" t="s">
        <v>51</v>
      </c>
      <c r="C875" t="s">
        <v>34</v>
      </c>
      <c r="D875" t="s">
        <v>14</v>
      </c>
      <c r="E875" s="7">
        <v>423</v>
      </c>
      <c r="F875" s="8">
        <v>5200</v>
      </c>
      <c r="G875" s="8">
        <f t="shared" si="52"/>
        <v>6500</v>
      </c>
      <c r="H875" s="8">
        <f t="shared" si="53"/>
        <v>2749500</v>
      </c>
      <c r="I875" s="8">
        <f t="shared" si="54"/>
        <v>2199600</v>
      </c>
      <c r="J875" s="8">
        <f t="shared" si="55"/>
        <v>549900</v>
      </c>
      <c r="K875" s="9">
        <v>45854</v>
      </c>
      <c r="L875" s="10">
        <f>Table1[[#This Row],[Profit]]/Table1[[#This Row],[Sales]]</f>
        <v>0.2</v>
      </c>
    </row>
    <row r="876" spans="1:12">
      <c r="A876" t="s">
        <v>23</v>
      </c>
      <c r="B876" t="s">
        <v>98</v>
      </c>
      <c r="C876" t="s">
        <v>13</v>
      </c>
      <c r="D876" t="s">
        <v>14</v>
      </c>
      <c r="E876" s="7">
        <v>2866</v>
      </c>
      <c r="F876" s="8">
        <v>19400</v>
      </c>
      <c r="G876" s="8">
        <f t="shared" si="52"/>
        <v>24250</v>
      </c>
      <c r="H876" s="8">
        <f t="shared" si="53"/>
        <v>69500500</v>
      </c>
      <c r="I876" s="8">
        <f t="shared" si="54"/>
        <v>55600400</v>
      </c>
      <c r="J876" s="8">
        <f t="shared" si="55"/>
        <v>13900100</v>
      </c>
      <c r="K876" s="9">
        <v>45854</v>
      </c>
      <c r="L876" s="10">
        <f>Table1[[#This Row],[Profit]]/Table1[[#This Row],[Sales]]</f>
        <v>0.2</v>
      </c>
    </row>
    <row r="877" spans="1:12">
      <c r="A877" t="s">
        <v>23</v>
      </c>
      <c r="B877" t="s">
        <v>77</v>
      </c>
      <c r="C877" t="s">
        <v>13</v>
      </c>
      <c r="D877" t="s">
        <v>14</v>
      </c>
      <c r="E877" s="7">
        <v>2522</v>
      </c>
      <c r="F877" s="8">
        <v>11300</v>
      </c>
      <c r="G877" s="8">
        <f t="shared" si="52"/>
        <v>14125</v>
      </c>
      <c r="H877" s="8">
        <f t="shared" si="53"/>
        <v>35623250</v>
      </c>
      <c r="I877" s="8">
        <f t="shared" si="54"/>
        <v>28498600</v>
      </c>
      <c r="J877" s="8">
        <f t="shared" si="55"/>
        <v>7124650</v>
      </c>
      <c r="K877" s="9">
        <v>45856</v>
      </c>
      <c r="L877" s="10">
        <f>Table1[[#This Row],[Profit]]/Table1[[#This Row],[Sales]]</f>
        <v>0.2</v>
      </c>
    </row>
    <row r="878" spans="1:12">
      <c r="A878" t="s">
        <v>23</v>
      </c>
      <c r="B878" t="s">
        <v>26</v>
      </c>
      <c r="C878" t="s">
        <v>34</v>
      </c>
      <c r="D878" t="s">
        <v>14</v>
      </c>
      <c r="E878" s="7">
        <v>2635</v>
      </c>
      <c r="F878" s="8">
        <v>24500</v>
      </c>
      <c r="G878" s="8">
        <f t="shared" si="52"/>
        <v>30625</v>
      </c>
      <c r="H878" s="8">
        <f t="shared" si="53"/>
        <v>80696875</v>
      </c>
      <c r="I878" s="8">
        <f t="shared" si="54"/>
        <v>64557500</v>
      </c>
      <c r="J878" s="8">
        <f t="shared" si="55"/>
        <v>16139375</v>
      </c>
      <c r="K878" s="9">
        <v>45856</v>
      </c>
      <c r="L878" s="10">
        <f>Table1[[#This Row],[Profit]]/Table1[[#This Row],[Sales]]</f>
        <v>0.2</v>
      </c>
    </row>
    <row r="879" spans="1:12">
      <c r="A879" t="s">
        <v>23</v>
      </c>
      <c r="B879" t="s">
        <v>98</v>
      </c>
      <c r="C879" t="s">
        <v>68</v>
      </c>
      <c r="D879" t="s">
        <v>14</v>
      </c>
      <c r="E879" s="7">
        <v>1707</v>
      </c>
      <c r="F879" s="8">
        <v>10500</v>
      </c>
      <c r="G879" s="8">
        <f t="shared" si="52"/>
        <v>13125</v>
      </c>
      <c r="H879" s="8">
        <f t="shared" si="53"/>
        <v>22404375</v>
      </c>
      <c r="I879" s="8">
        <f t="shared" si="54"/>
        <v>17923500</v>
      </c>
      <c r="J879" s="8">
        <f t="shared" si="55"/>
        <v>4480875</v>
      </c>
      <c r="K879" s="9">
        <v>45859</v>
      </c>
      <c r="L879" s="10">
        <f>Table1[[#This Row],[Profit]]/Table1[[#This Row],[Sales]]</f>
        <v>0.2</v>
      </c>
    </row>
    <row r="880" spans="1:12">
      <c r="A880" t="s">
        <v>23</v>
      </c>
      <c r="B880" t="s">
        <v>98</v>
      </c>
      <c r="C880" t="s">
        <v>63</v>
      </c>
      <c r="D880" t="s">
        <v>14</v>
      </c>
      <c r="E880" s="7">
        <v>428</v>
      </c>
      <c r="F880" s="8">
        <v>7600</v>
      </c>
      <c r="G880" s="8">
        <f t="shared" si="52"/>
        <v>9500</v>
      </c>
      <c r="H880" s="8">
        <f t="shared" si="53"/>
        <v>4066000</v>
      </c>
      <c r="I880" s="8">
        <f t="shared" si="54"/>
        <v>3252800</v>
      </c>
      <c r="J880" s="8">
        <f t="shared" si="55"/>
        <v>813200</v>
      </c>
      <c r="K880" s="9">
        <v>45860</v>
      </c>
      <c r="L880" s="10">
        <f>Table1[[#This Row],[Profit]]/Table1[[#This Row],[Sales]]</f>
        <v>0.2</v>
      </c>
    </row>
    <row r="881" spans="1:12">
      <c r="A881" t="s">
        <v>23</v>
      </c>
      <c r="B881" t="s">
        <v>20</v>
      </c>
      <c r="C881" t="s">
        <v>79</v>
      </c>
      <c r="D881" t="s">
        <v>14</v>
      </c>
      <c r="E881" s="7">
        <v>1056</v>
      </c>
      <c r="F881" s="8">
        <v>20100</v>
      </c>
      <c r="G881" s="8">
        <f t="shared" si="52"/>
        <v>25125</v>
      </c>
      <c r="H881" s="8">
        <f t="shared" si="53"/>
        <v>26532000</v>
      </c>
      <c r="I881" s="8">
        <f t="shared" si="54"/>
        <v>21225600</v>
      </c>
      <c r="J881" s="8">
        <f t="shared" si="55"/>
        <v>5306400</v>
      </c>
      <c r="K881" s="9">
        <v>45860</v>
      </c>
      <c r="L881" s="10">
        <f>Table1[[#This Row],[Profit]]/Table1[[#This Row],[Sales]]</f>
        <v>0.2</v>
      </c>
    </row>
    <row r="882" spans="1:12">
      <c r="A882" t="s">
        <v>23</v>
      </c>
      <c r="B882" t="s">
        <v>88</v>
      </c>
      <c r="C882" t="s">
        <v>79</v>
      </c>
      <c r="D882" t="s">
        <v>14</v>
      </c>
      <c r="E882" s="7">
        <v>2991</v>
      </c>
      <c r="F882" s="8">
        <v>6600</v>
      </c>
      <c r="G882" s="8">
        <f t="shared" si="52"/>
        <v>8250</v>
      </c>
      <c r="H882" s="8">
        <f t="shared" si="53"/>
        <v>24675750</v>
      </c>
      <c r="I882" s="8">
        <f t="shared" si="54"/>
        <v>19740600</v>
      </c>
      <c r="J882" s="8">
        <f t="shared" si="55"/>
        <v>4935150</v>
      </c>
      <c r="K882" s="9">
        <v>45861</v>
      </c>
      <c r="L882" s="10">
        <f>Table1[[#This Row],[Profit]]/Table1[[#This Row],[Sales]]</f>
        <v>0.2</v>
      </c>
    </row>
    <row r="883" spans="1:12">
      <c r="A883" t="s">
        <v>23</v>
      </c>
      <c r="B883" t="s">
        <v>39</v>
      </c>
      <c r="C883" t="s">
        <v>63</v>
      </c>
      <c r="D883" t="s">
        <v>14</v>
      </c>
      <c r="E883" s="7">
        <v>2441</v>
      </c>
      <c r="F883" s="8">
        <v>12200</v>
      </c>
      <c r="G883" s="8">
        <f t="shared" si="52"/>
        <v>15250</v>
      </c>
      <c r="H883" s="8">
        <f t="shared" si="53"/>
        <v>37225250</v>
      </c>
      <c r="I883" s="8">
        <f t="shared" si="54"/>
        <v>29780200</v>
      </c>
      <c r="J883" s="8">
        <f t="shared" si="55"/>
        <v>7445050</v>
      </c>
      <c r="K883" s="9">
        <v>45862</v>
      </c>
      <c r="L883" s="10">
        <f>Table1[[#This Row],[Profit]]/Table1[[#This Row],[Sales]]</f>
        <v>0.2</v>
      </c>
    </row>
    <row r="884" spans="1:12">
      <c r="A884" t="s">
        <v>23</v>
      </c>
      <c r="B884" t="s">
        <v>36</v>
      </c>
      <c r="C884" t="s">
        <v>37</v>
      </c>
      <c r="D884" t="s">
        <v>14</v>
      </c>
      <c r="E884" s="7">
        <v>1825</v>
      </c>
      <c r="F884" s="8">
        <v>8300</v>
      </c>
      <c r="G884" s="8">
        <f t="shared" si="52"/>
        <v>10375</v>
      </c>
      <c r="H884" s="8">
        <f t="shared" si="53"/>
        <v>18934375</v>
      </c>
      <c r="I884" s="8">
        <f t="shared" si="54"/>
        <v>15147500</v>
      </c>
      <c r="J884" s="8">
        <f t="shared" si="55"/>
        <v>3786875</v>
      </c>
      <c r="K884" s="9">
        <v>45862</v>
      </c>
      <c r="L884" s="10">
        <f>Table1[[#This Row],[Profit]]/Table1[[#This Row],[Sales]]</f>
        <v>0.2</v>
      </c>
    </row>
    <row r="885" spans="1:12">
      <c r="A885" t="s">
        <v>23</v>
      </c>
      <c r="B885" t="s">
        <v>39</v>
      </c>
      <c r="C885" t="s">
        <v>13</v>
      </c>
      <c r="D885" t="s">
        <v>14</v>
      </c>
      <c r="E885" s="7">
        <v>1535</v>
      </c>
      <c r="F885" s="8">
        <v>3300</v>
      </c>
      <c r="G885" s="8">
        <f t="shared" si="52"/>
        <v>4125</v>
      </c>
      <c r="H885" s="8">
        <f t="shared" si="53"/>
        <v>6331875</v>
      </c>
      <c r="I885" s="8">
        <f t="shared" si="54"/>
        <v>5065500</v>
      </c>
      <c r="J885" s="8">
        <f t="shared" si="55"/>
        <v>1266375</v>
      </c>
      <c r="K885" s="9">
        <v>45862</v>
      </c>
      <c r="L885" s="10">
        <f>Table1[[#This Row],[Profit]]/Table1[[#This Row],[Sales]]</f>
        <v>0.2</v>
      </c>
    </row>
    <row r="886" spans="1:12">
      <c r="A886" t="s">
        <v>23</v>
      </c>
      <c r="B886" t="s">
        <v>20</v>
      </c>
      <c r="C886" t="s">
        <v>13</v>
      </c>
      <c r="D886" t="s">
        <v>14</v>
      </c>
      <c r="E886" s="7">
        <v>383</v>
      </c>
      <c r="F886" s="8">
        <v>1900</v>
      </c>
      <c r="G886" s="8">
        <f t="shared" si="52"/>
        <v>2375</v>
      </c>
      <c r="H886" s="8">
        <f t="shared" si="53"/>
        <v>909625</v>
      </c>
      <c r="I886" s="8">
        <f t="shared" si="54"/>
        <v>727700</v>
      </c>
      <c r="J886" s="8">
        <f t="shared" si="55"/>
        <v>181925</v>
      </c>
      <c r="K886" s="9">
        <v>45864</v>
      </c>
      <c r="L886" s="10">
        <f>Table1[[#This Row],[Profit]]/Table1[[#This Row],[Sales]]</f>
        <v>0.2</v>
      </c>
    </row>
    <row r="887" spans="1:12">
      <c r="A887" t="s">
        <v>23</v>
      </c>
      <c r="B887" t="s">
        <v>26</v>
      </c>
      <c r="C887" t="s">
        <v>31</v>
      </c>
      <c r="D887" t="s">
        <v>14</v>
      </c>
      <c r="E887" s="7">
        <v>1702</v>
      </c>
      <c r="F887" s="8">
        <v>17800</v>
      </c>
      <c r="G887" s="8">
        <f t="shared" si="52"/>
        <v>22250</v>
      </c>
      <c r="H887" s="8">
        <f t="shared" si="53"/>
        <v>37869500</v>
      </c>
      <c r="I887" s="8">
        <f t="shared" si="54"/>
        <v>30295600</v>
      </c>
      <c r="J887" s="8">
        <f t="shared" si="55"/>
        <v>7573900</v>
      </c>
      <c r="K887" s="9">
        <v>45866</v>
      </c>
      <c r="L887" s="10">
        <f>Table1[[#This Row],[Profit]]/Table1[[#This Row],[Sales]]</f>
        <v>0.2</v>
      </c>
    </row>
    <row r="888" spans="1:12">
      <c r="A888" t="s">
        <v>23</v>
      </c>
      <c r="B888" t="s">
        <v>26</v>
      </c>
      <c r="C888" t="s">
        <v>79</v>
      </c>
      <c r="D888" t="s">
        <v>14</v>
      </c>
      <c r="E888" s="7">
        <v>915</v>
      </c>
      <c r="F888" s="8">
        <v>11500</v>
      </c>
      <c r="G888" s="8">
        <f t="shared" si="52"/>
        <v>14375</v>
      </c>
      <c r="H888" s="8">
        <f t="shared" si="53"/>
        <v>13153125</v>
      </c>
      <c r="I888" s="8">
        <f t="shared" si="54"/>
        <v>10522500</v>
      </c>
      <c r="J888" s="8">
        <f t="shared" si="55"/>
        <v>2630625</v>
      </c>
      <c r="K888" s="9">
        <v>45867</v>
      </c>
      <c r="L888" s="10">
        <f>Table1[[#This Row],[Profit]]/Table1[[#This Row],[Sales]]</f>
        <v>0.2</v>
      </c>
    </row>
    <row r="889" spans="1:12">
      <c r="A889" t="s">
        <v>23</v>
      </c>
      <c r="B889" t="s">
        <v>36</v>
      </c>
      <c r="C889" t="s">
        <v>27</v>
      </c>
      <c r="D889" t="s">
        <v>14</v>
      </c>
      <c r="E889" s="7">
        <v>888</v>
      </c>
      <c r="F889" s="8">
        <v>7100</v>
      </c>
      <c r="G889" s="8">
        <f t="shared" si="52"/>
        <v>8875</v>
      </c>
      <c r="H889" s="8">
        <f t="shared" si="53"/>
        <v>7881000</v>
      </c>
      <c r="I889" s="8">
        <f t="shared" si="54"/>
        <v>6304800</v>
      </c>
      <c r="J889" s="8">
        <f t="shared" si="55"/>
        <v>1576200</v>
      </c>
      <c r="K889" s="9">
        <v>45868</v>
      </c>
      <c r="L889" s="10">
        <f>Table1[[#This Row],[Profit]]/Table1[[#This Row],[Sales]]</f>
        <v>0.2</v>
      </c>
    </row>
    <row r="890" spans="1:12">
      <c r="A890" t="s">
        <v>23</v>
      </c>
      <c r="B890" t="s">
        <v>98</v>
      </c>
      <c r="C890" t="s">
        <v>37</v>
      </c>
      <c r="D890" t="s">
        <v>14</v>
      </c>
      <c r="E890" s="7">
        <v>1385</v>
      </c>
      <c r="F890" s="8">
        <v>6500</v>
      </c>
      <c r="G890" s="8">
        <f t="shared" si="52"/>
        <v>8125</v>
      </c>
      <c r="H890" s="8">
        <f t="shared" si="53"/>
        <v>11253125</v>
      </c>
      <c r="I890" s="8">
        <f t="shared" si="54"/>
        <v>9002500</v>
      </c>
      <c r="J890" s="8">
        <f t="shared" si="55"/>
        <v>2250625</v>
      </c>
      <c r="K890" s="9">
        <v>45873</v>
      </c>
      <c r="L890" s="10">
        <f>Table1[[#This Row],[Profit]]/Table1[[#This Row],[Sales]]</f>
        <v>0.2</v>
      </c>
    </row>
    <row r="891" spans="1:12">
      <c r="A891" t="s">
        <v>23</v>
      </c>
      <c r="B891" t="s">
        <v>51</v>
      </c>
      <c r="C891" t="s">
        <v>31</v>
      </c>
      <c r="D891" t="s">
        <v>14</v>
      </c>
      <c r="E891" s="7">
        <v>936</v>
      </c>
      <c r="F891" s="8">
        <v>19700</v>
      </c>
      <c r="G891" s="8">
        <f t="shared" si="52"/>
        <v>24625</v>
      </c>
      <c r="H891" s="8">
        <f t="shared" si="53"/>
        <v>23049000</v>
      </c>
      <c r="I891" s="8">
        <f t="shared" si="54"/>
        <v>18439200</v>
      </c>
      <c r="J891" s="8">
        <f t="shared" si="55"/>
        <v>4609800</v>
      </c>
      <c r="K891" s="9">
        <v>45873</v>
      </c>
      <c r="L891" s="10">
        <f>Table1[[#This Row],[Profit]]/Table1[[#This Row],[Sales]]</f>
        <v>0.2</v>
      </c>
    </row>
    <row r="892" spans="1:12">
      <c r="A892" t="s">
        <v>23</v>
      </c>
      <c r="B892" t="s">
        <v>88</v>
      </c>
      <c r="C892" t="s">
        <v>21</v>
      </c>
      <c r="D892" t="s">
        <v>14</v>
      </c>
      <c r="E892" s="7">
        <v>2340</v>
      </c>
      <c r="F892" s="8">
        <v>5500</v>
      </c>
      <c r="G892" s="8">
        <f t="shared" si="52"/>
        <v>6875</v>
      </c>
      <c r="H892" s="8">
        <f t="shared" si="53"/>
        <v>16087500</v>
      </c>
      <c r="I892" s="8">
        <f t="shared" si="54"/>
        <v>12870000</v>
      </c>
      <c r="J892" s="8">
        <f t="shared" si="55"/>
        <v>3217500</v>
      </c>
      <c r="K892" s="9">
        <v>45875</v>
      </c>
      <c r="L892" s="10">
        <f>Table1[[#This Row],[Profit]]/Table1[[#This Row],[Sales]]</f>
        <v>0.2</v>
      </c>
    </row>
    <row r="893" spans="1:12">
      <c r="A893" t="s">
        <v>23</v>
      </c>
      <c r="B893" t="s">
        <v>97</v>
      </c>
      <c r="C893" t="s">
        <v>34</v>
      </c>
      <c r="D893" t="s">
        <v>14</v>
      </c>
      <c r="E893" s="7">
        <v>717</v>
      </c>
      <c r="F893" s="8">
        <v>11272</v>
      </c>
      <c r="G893" s="8">
        <f t="shared" si="52"/>
        <v>14000</v>
      </c>
      <c r="H893" s="8">
        <f t="shared" si="53"/>
        <v>10038000</v>
      </c>
      <c r="I893" s="8">
        <f t="shared" si="54"/>
        <v>8082024</v>
      </c>
      <c r="J893" s="8">
        <f t="shared" si="55"/>
        <v>1955976</v>
      </c>
      <c r="K893" s="9">
        <v>45878</v>
      </c>
      <c r="L893" s="10">
        <f>Table1[[#This Row],[Profit]]/Table1[[#This Row],[Sales]]</f>
        <v>0.19485714285714287</v>
      </c>
    </row>
    <row r="894" spans="1:12">
      <c r="A894" t="s">
        <v>23</v>
      </c>
      <c r="B894" t="s">
        <v>97</v>
      </c>
      <c r="C894" t="s">
        <v>31</v>
      </c>
      <c r="D894" t="s">
        <v>14</v>
      </c>
      <c r="E894" s="7">
        <v>190</v>
      </c>
      <c r="F894" s="8">
        <v>22900</v>
      </c>
      <c r="G894" s="8">
        <f t="shared" si="52"/>
        <v>28625</v>
      </c>
      <c r="H894" s="8">
        <f t="shared" si="53"/>
        <v>5438750</v>
      </c>
      <c r="I894" s="8">
        <f t="shared" si="54"/>
        <v>4351000</v>
      </c>
      <c r="J894" s="8">
        <f t="shared" si="55"/>
        <v>1087750</v>
      </c>
      <c r="K894" s="9">
        <v>45879</v>
      </c>
      <c r="L894" s="10">
        <f>Table1[[#This Row],[Profit]]/Table1[[#This Row],[Sales]]</f>
        <v>0.2</v>
      </c>
    </row>
    <row r="895" spans="1:12">
      <c r="A895" t="s">
        <v>23</v>
      </c>
      <c r="B895" t="s">
        <v>97</v>
      </c>
      <c r="C895" t="s">
        <v>27</v>
      </c>
      <c r="D895" t="s">
        <v>14</v>
      </c>
      <c r="E895" s="7">
        <v>1733</v>
      </c>
      <c r="F895" s="8">
        <v>15600</v>
      </c>
      <c r="G895" s="8">
        <f t="shared" si="52"/>
        <v>19500</v>
      </c>
      <c r="H895" s="8">
        <f t="shared" si="53"/>
        <v>33793500</v>
      </c>
      <c r="I895" s="8">
        <f t="shared" si="54"/>
        <v>27034800</v>
      </c>
      <c r="J895" s="8">
        <f t="shared" si="55"/>
        <v>6758700</v>
      </c>
      <c r="K895" s="9">
        <v>45879</v>
      </c>
      <c r="L895" s="10">
        <f>Table1[[#This Row],[Profit]]/Table1[[#This Row],[Sales]]</f>
        <v>0.2</v>
      </c>
    </row>
    <row r="896" spans="1:12">
      <c r="A896" t="s">
        <v>23</v>
      </c>
      <c r="B896" t="s">
        <v>51</v>
      </c>
      <c r="C896" t="s">
        <v>13</v>
      </c>
      <c r="D896" t="s">
        <v>14</v>
      </c>
      <c r="E896" s="7">
        <v>534</v>
      </c>
      <c r="F896" s="8">
        <v>23100</v>
      </c>
      <c r="G896" s="8">
        <f t="shared" si="52"/>
        <v>28875</v>
      </c>
      <c r="H896" s="8">
        <f t="shared" si="53"/>
        <v>15419250</v>
      </c>
      <c r="I896" s="8">
        <f t="shared" si="54"/>
        <v>12335400</v>
      </c>
      <c r="J896" s="8">
        <f t="shared" si="55"/>
        <v>3083850</v>
      </c>
      <c r="K896" s="9">
        <v>45882</v>
      </c>
      <c r="L896" s="10">
        <f>Table1[[#This Row],[Profit]]/Table1[[#This Row],[Sales]]</f>
        <v>0.2</v>
      </c>
    </row>
    <row r="897" spans="1:12">
      <c r="A897" t="s">
        <v>23</v>
      </c>
      <c r="B897" t="s">
        <v>51</v>
      </c>
      <c r="C897" t="s">
        <v>63</v>
      </c>
      <c r="D897" t="s">
        <v>14</v>
      </c>
      <c r="E897" s="7">
        <v>712</v>
      </c>
      <c r="F897" s="8">
        <v>8900</v>
      </c>
      <c r="G897" s="8">
        <f t="shared" si="52"/>
        <v>11125</v>
      </c>
      <c r="H897" s="8">
        <f t="shared" si="53"/>
        <v>7921000</v>
      </c>
      <c r="I897" s="8">
        <f t="shared" si="54"/>
        <v>6336800</v>
      </c>
      <c r="J897" s="8">
        <f t="shared" si="55"/>
        <v>1584200</v>
      </c>
      <c r="K897" s="9">
        <v>45883</v>
      </c>
      <c r="L897" s="10">
        <f>Table1[[#This Row],[Profit]]/Table1[[#This Row],[Sales]]</f>
        <v>0.2</v>
      </c>
    </row>
    <row r="898" spans="1:12">
      <c r="A898" t="s">
        <v>23</v>
      </c>
      <c r="B898" t="s">
        <v>39</v>
      </c>
      <c r="C898" t="s">
        <v>37</v>
      </c>
      <c r="D898" t="s">
        <v>14</v>
      </c>
      <c r="E898" s="7">
        <v>1146</v>
      </c>
      <c r="F898" s="8">
        <v>24600</v>
      </c>
      <c r="G898" s="8">
        <f t="shared" ref="G898:G961" si="56">ROUNDDOWN(F898/100,0)*100*1.25</f>
        <v>30750</v>
      </c>
      <c r="H898" s="8">
        <f t="shared" ref="H898:H961" si="57">E898*G898</f>
        <v>35239500</v>
      </c>
      <c r="I898" s="8">
        <f t="shared" ref="I898:I961" si="58">E898*F898</f>
        <v>28191600</v>
      </c>
      <c r="J898" s="8">
        <f t="shared" ref="J898:J961" si="59">H898-I898</f>
        <v>7047900</v>
      </c>
      <c r="K898" s="9">
        <v>45885</v>
      </c>
      <c r="L898" s="10">
        <f>Table1[[#This Row],[Profit]]/Table1[[#This Row],[Sales]]</f>
        <v>0.2</v>
      </c>
    </row>
    <row r="899" spans="1:12">
      <c r="A899" t="s">
        <v>23</v>
      </c>
      <c r="B899" t="s">
        <v>36</v>
      </c>
      <c r="C899" t="s">
        <v>68</v>
      </c>
      <c r="D899" t="s">
        <v>14</v>
      </c>
      <c r="E899" s="7">
        <v>2588</v>
      </c>
      <c r="F899" s="8">
        <v>2700</v>
      </c>
      <c r="G899" s="8">
        <f t="shared" si="56"/>
        <v>3375</v>
      </c>
      <c r="H899" s="8">
        <f t="shared" si="57"/>
        <v>8734500</v>
      </c>
      <c r="I899" s="8">
        <f t="shared" si="58"/>
        <v>6987600</v>
      </c>
      <c r="J899" s="8">
        <f t="shared" si="59"/>
        <v>1746900</v>
      </c>
      <c r="K899" s="9">
        <v>45886</v>
      </c>
      <c r="L899" s="10">
        <f>Table1[[#This Row],[Profit]]/Table1[[#This Row],[Sales]]</f>
        <v>0.2</v>
      </c>
    </row>
    <row r="900" spans="1:12">
      <c r="A900" t="s">
        <v>23</v>
      </c>
      <c r="B900" t="s">
        <v>20</v>
      </c>
      <c r="C900" t="s">
        <v>27</v>
      </c>
      <c r="D900" t="s">
        <v>14</v>
      </c>
      <c r="E900" s="7">
        <v>1341</v>
      </c>
      <c r="F900" s="8">
        <v>11800</v>
      </c>
      <c r="G900" s="8">
        <f t="shared" si="56"/>
        <v>14750</v>
      </c>
      <c r="H900" s="8">
        <f t="shared" si="57"/>
        <v>19779750</v>
      </c>
      <c r="I900" s="8">
        <f t="shared" si="58"/>
        <v>15823800</v>
      </c>
      <c r="J900" s="8">
        <f t="shared" si="59"/>
        <v>3955950</v>
      </c>
      <c r="K900" s="9">
        <v>45887</v>
      </c>
      <c r="L900" s="10">
        <f>Table1[[#This Row],[Profit]]/Table1[[#This Row],[Sales]]</f>
        <v>0.2</v>
      </c>
    </row>
    <row r="901" spans="1:12">
      <c r="A901" t="s">
        <v>23</v>
      </c>
      <c r="B901" t="s">
        <v>20</v>
      </c>
      <c r="C901" t="s">
        <v>37</v>
      </c>
      <c r="D901" t="s">
        <v>14</v>
      </c>
      <c r="E901" s="7">
        <v>674</v>
      </c>
      <c r="F901" s="8">
        <v>10500</v>
      </c>
      <c r="G901" s="8">
        <f t="shared" si="56"/>
        <v>13125</v>
      </c>
      <c r="H901" s="8">
        <f t="shared" si="57"/>
        <v>8846250</v>
      </c>
      <c r="I901" s="8">
        <f t="shared" si="58"/>
        <v>7077000</v>
      </c>
      <c r="J901" s="8">
        <f t="shared" si="59"/>
        <v>1769250</v>
      </c>
      <c r="K901" s="9">
        <v>45890</v>
      </c>
      <c r="L901" s="10">
        <f>Table1[[#This Row],[Profit]]/Table1[[#This Row],[Sales]]</f>
        <v>0.2</v>
      </c>
    </row>
    <row r="902" spans="1:12">
      <c r="A902" t="s">
        <v>23</v>
      </c>
      <c r="B902" t="s">
        <v>36</v>
      </c>
      <c r="C902" t="s">
        <v>79</v>
      </c>
      <c r="D902" t="s">
        <v>14</v>
      </c>
      <c r="E902" s="7">
        <v>1421</v>
      </c>
      <c r="F902" s="8">
        <v>15900</v>
      </c>
      <c r="G902" s="8">
        <f t="shared" si="56"/>
        <v>19875</v>
      </c>
      <c r="H902" s="8">
        <f t="shared" si="57"/>
        <v>28242375</v>
      </c>
      <c r="I902" s="8">
        <f t="shared" si="58"/>
        <v>22593900</v>
      </c>
      <c r="J902" s="8">
        <f t="shared" si="59"/>
        <v>5648475</v>
      </c>
      <c r="K902" s="9">
        <v>45891</v>
      </c>
      <c r="L902" s="10">
        <f>Table1[[#This Row],[Profit]]/Table1[[#This Row],[Sales]]</f>
        <v>0.2</v>
      </c>
    </row>
    <row r="903" spans="1:12">
      <c r="A903" t="s">
        <v>23</v>
      </c>
      <c r="B903" t="s">
        <v>97</v>
      </c>
      <c r="C903" t="s">
        <v>37</v>
      </c>
      <c r="D903" t="s">
        <v>14</v>
      </c>
      <c r="E903" s="7">
        <v>796</v>
      </c>
      <c r="F903" s="8">
        <v>2300</v>
      </c>
      <c r="G903" s="8">
        <f t="shared" si="56"/>
        <v>2875</v>
      </c>
      <c r="H903" s="8">
        <f t="shared" si="57"/>
        <v>2288500</v>
      </c>
      <c r="I903" s="8">
        <f t="shared" si="58"/>
        <v>1830800</v>
      </c>
      <c r="J903" s="8">
        <f t="shared" si="59"/>
        <v>457700</v>
      </c>
      <c r="K903" s="9">
        <v>45891</v>
      </c>
      <c r="L903" s="10">
        <f>Table1[[#This Row],[Profit]]/Table1[[#This Row],[Sales]]</f>
        <v>0.2</v>
      </c>
    </row>
    <row r="904" spans="1:12">
      <c r="A904" t="s">
        <v>23</v>
      </c>
      <c r="B904" t="s">
        <v>36</v>
      </c>
      <c r="C904" t="s">
        <v>34</v>
      </c>
      <c r="D904" t="s">
        <v>14</v>
      </c>
      <c r="E904" s="7">
        <v>2378</v>
      </c>
      <c r="F904" s="8">
        <v>18400</v>
      </c>
      <c r="G904" s="8">
        <f t="shared" si="56"/>
        <v>23000</v>
      </c>
      <c r="H904" s="8">
        <f t="shared" si="57"/>
        <v>54694000</v>
      </c>
      <c r="I904" s="8">
        <f t="shared" si="58"/>
        <v>43755200</v>
      </c>
      <c r="J904" s="8">
        <f t="shared" si="59"/>
        <v>10938800</v>
      </c>
      <c r="K904" s="9">
        <v>45893</v>
      </c>
      <c r="L904" s="10">
        <f>Table1[[#This Row],[Profit]]/Table1[[#This Row],[Sales]]</f>
        <v>0.2</v>
      </c>
    </row>
    <row r="905" spans="1:12">
      <c r="A905" t="s">
        <v>23</v>
      </c>
      <c r="B905" t="s">
        <v>62</v>
      </c>
      <c r="C905" t="s">
        <v>63</v>
      </c>
      <c r="D905" t="s">
        <v>14</v>
      </c>
      <c r="E905" s="7">
        <v>994</v>
      </c>
      <c r="F905" s="8">
        <v>3900</v>
      </c>
      <c r="G905" s="8">
        <f t="shared" si="56"/>
        <v>4875</v>
      </c>
      <c r="H905" s="8">
        <f t="shared" si="57"/>
        <v>4845750</v>
      </c>
      <c r="I905" s="8">
        <f t="shared" si="58"/>
        <v>3876600</v>
      </c>
      <c r="J905" s="8">
        <f t="shared" si="59"/>
        <v>969150</v>
      </c>
      <c r="K905" s="9">
        <v>45893</v>
      </c>
      <c r="L905" s="10">
        <f>Table1[[#This Row],[Profit]]/Table1[[#This Row],[Sales]]</f>
        <v>0.2</v>
      </c>
    </row>
    <row r="906" spans="1:12">
      <c r="A906" t="s">
        <v>23</v>
      </c>
      <c r="B906" t="s">
        <v>88</v>
      </c>
      <c r="C906" t="s">
        <v>63</v>
      </c>
      <c r="D906" t="s">
        <v>14</v>
      </c>
      <c r="E906" s="7">
        <v>2230</v>
      </c>
      <c r="F906" s="8">
        <v>15800</v>
      </c>
      <c r="G906" s="8">
        <f t="shared" si="56"/>
        <v>19750</v>
      </c>
      <c r="H906" s="8">
        <f t="shared" si="57"/>
        <v>44042500</v>
      </c>
      <c r="I906" s="8">
        <f t="shared" si="58"/>
        <v>35234000</v>
      </c>
      <c r="J906" s="8">
        <f t="shared" si="59"/>
        <v>8808500</v>
      </c>
      <c r="K906" s="9">
        <v>45896</v>
      </c>
      <c r="L906" s="10">
        <f>Table1[[#This Row],[Profit]]/Table1[[#This Row],[Sales]]</f>
        <v>0.2</v>
      </c>
    </row>
    <row r="907" spans="1:12">
      <c r="A907" t="s">
        <v>23</v>
      </c>
      <c r="B907" t="s">
        <v>20</v>
      </c>
      <c r="C907" t="s">
        <v>68</v>
      </c>
      <c r="D907" t="s">
        <v>14</v>
      </c>
      <c r="E907" s="7">
        <v>2320</v>
      </c>
      <c r="F907" s="8">
        <v>18300</v>
      </c>
      <c r="G907" s="8">
        <f t="shared" si="56"/>
        <v>22875</v>
      </c>
      <c r="H907" s="8">
        <f t="shared" si="57"/>
        <v>53070000</v>
      </c>
      <c r="I907" s="8">
        <f t="shared" si="58"/>
        <v>42456000</v>
      </c>
      <c r="J907" s="8">
        <f t="shared" si="59"/>
        <v>10614000</v>
      </c>
      <c r="K907" s="9">
        <v>45898</v>
      </c>
      <c r="L907" s="10">
        <f>Table1[[#This Row],[Profit]]/Table1[[#This Row],[Sales]]</f>
        <v>0.2</v>
      </c>
    </row>
    <row r="908" spans="1:12">
      <c r="A908" t="s">
        <v>23</v>
      </c>
      <c r="B908" t="s">
        <v>97</v>
      </c>
      <c r="C908" t="s">
        <v>13</v>
      </c>
      <c r="D908" t="s">
        <v>14</v>
      </c>
      <c r="E908" s="7">
        <v>1994</v>
      </c>
      <c r="F908" s="8">
        <v>5700</v>
      </c>
      <c r="G908" s="8">
        <f t="shared" si="56"/>
        <v>7125</v>
      </c>
      <c r="H908" s="8">
        <f t="shared" si="57"/>
        <v>14207250</v>
      </c>
      <c r="I908" s="8">
        <f t="shared" si="58"/>
        <v>11365800</v>
      </c>
      <c r="J908" s="8">
        <f t="shared" si="59"/>
        <v>2841450</v>
      </c>
      <c r="K908" s="9">
        <v>45900</v>
      </c>
      <c r="L908" s="10">
        <f>Table1[[#This Row],[Profit]]/Table1[[#This Row],[Sales]]</f>
        <v>0.2</v>
      </c>
    </row>
    <row r="909" spans="1:12">
      <c r="A909" t="s">
        <v>23</v>
      </c>
      <c r="B909" t="s">
        <v>98</v>
      </c>
      <c r="C909" t="s">
        <v>13</v>
      </c>
      <c r="D909" t="s">
        <v>14</v>
      </c>
      <c r="E909" s="7">
        <v>2486</v>
      </c>
      <c r="F909" s="8">
        <v>22600</v>
      </c>
      <c r="G909" s="8">
        <f t="shared" si="56"/>
        <v>28250</v>
      </c>
      <c r="H909" s="8">
        <f t="shared" si="57"/>
        <v>70229500</v>
      </c>
      <c r="I909" s="8">
        <f t="shared" si="58"/>
        <v>56183600</v>
      </c>
      <c r="J909" s="8">
        <f t="shared" si="59"/>
        <v>14045900</v>
      </c>
      <c r="K909" s="9">
        <v>45900</v>
      </c>
      <c r="L909" s="10">
        <f>Table1[[#This Row],[Profit]]/Table1[[#This Row],[Sales]]</f>
        <v>0.2</v>
      </c>
    </row>
    <row r="910" spans="1:12">
      <c r="A910" t="s">
        <v>23</v>
      </c>
      <c r="B910" t="s">
        <v>97</v>
      </c>
      <c r="C910" t="s">
        <v>21</v>
      </c>
      <c r="D910" t="s">
        <v>14</v>
      </c>
      <c r="E910" s="7">
        <v>1113</v>
      </c>
      <c r="F910" s="8">
        <v>15800</v>
      </c>
      <c r="G910" s="8">
        <f t="shared" si="56"/>
        <v>19750</v>
      </c>
      <c r="H910" s="8">
        <f t="shared" si="57"/>
        <v>21981750</v>
      </c>
      <c r="I910" s="8">
        <f t="shared" si="58"/>
        <v>17585400</v>
      </c>
      <c r="J910" s="8">
        <f t="shared" si="59"/>
        <v>4396350</v>
      </c>
      <c r="K910" s="9">
        <v>45902</v>
      </c>
      <c r="L910" s="10">
        <f>Table1[[#This Row],[Profit]]/Table1[[#This Row],[Sales]]</f>
        <v>0.2</v>
      </c>
    </row>
    <row r="911" spans="1:12">
      <c r="A911" t="s">
        <v>23</v>
      </c>
      <c r="B911" t="s">
        <v>51</v>
      </c>
      <c r="C911" t="s">
        <v>79</v>
      </c>
      <c r="D911" t="s">
        <v>14</v>
      </c>
      <c r="E911" s="7">
        <v>2237</v>
      </c>
      <c r="F911" s="8">
        <v>18800</v>
      </c>
      <c r="G911" s="8">
        <f t="shared" si="56"/>
        <v>23500</v>
      </c>
      <c r="H911" s="8">
        <f t="shared" si="57"/>
        <v>52569500</v>
      </c>
      <c r="I911" s="8">
        <f t="shared" si="58"/>
        <v>42055600</v>
      </c>
      <c r="J911" s="8">
        <f t="shared" si="59"/>
        <v>10513900</v>
      </c>
      <c r="K911" s="9">
        <v>45902</v>
      </c>
      <c r="L911" s="10">
        <f>Table1[[#This Row],[Profit]]/Table1[[#This Row],[Sales]]</f>
        <v>0.2</v>
      </c>
    </row>
    <row r="912" spans="1:12">
      <c r="A912" t="s">
        <v>23</v>
      </c>
      <c r="B912" t="s">
        <v>98</v>
      </c>
      <c r="C912" t="s">
        <v>27</v>
      </c>
      <c r="D912" t="s">
        <v>14</v>
      </c>
      <c r="E912" s="7">
        <v>805</v>
      </c>
      <c r="F912" s="8">
        <v>24900</v>
      </c>
      <c r="G912" s="8">
        <f t="shared" si="56"/>
        <v>31125</v>
      </c>
      <c r="H912" s="8">
        <f t="shared" si="57"/>
        <v>25055625</v>
      </c>
      <c r="I912" s="8">
        <f t="shared" si="58"/>
        <v>20044500</v>
      </c>
      <c r="J912" s="8">
        <f t="shared" si="59"/>
        <v>5011125</v>
      </c>
      <c r="K912" s="9">
        <v>45902</v>
      </c>
      <c r="L912" s="10">
        <f>Table1[[#This Row],[Profit]]/Table1[[#This Row],[Sales]]</f>
        <v>0.2</v>
      </c>
    </row>
    <row r="913" spans="1:12">
      <c r="A913" t="s">
        <v>23</v>
      </c>
      <c r="B913" t="s">
        <v>39</v>
      </c>
      <c r="C913" t="s">
        <v>13</v>
      </c>
      <c r="D913" t="s">
        <v>14</v>
      </c>
      <c r="E913" s="7">
        <v>1109</v>
      </c>
      <c r="F913" s="8">
        <v>15400</v>
      </c>
      <c r="G913" s="8">
        <f t="shared" si="56"/>
        <v>19250</v>
      </c>
      <c r="H913" s="8">
        <f t="shared" si="57"/>
        <v>21348250</v>
      </c>
      <c r="I913" s="8">
        <f t="shared" si="58"/>
        <v>17078600</v>
      </c>
      <c r="J913" s="8">
        <f t="shared" si="59"/>
        <v>4269650</v>
      </c>
      <c r="K913" s="9">
        <v>45904</v>
      </c>
      <c r="L913" s="10">
        <f>Table1[[#This Row],[Profit]]/Table1[[#This Row],[Sales]]</f>
        <v>0.2</v>
      </c>
    </row>
    <row r="914" spans="1:12">
      <c r="A914" t="s">
        <v>23</v>
      </c>
      <c r="B914" t="s">
        <v>77</v>
      </c>
      <c r="C914" t="s">
        <v>63</v>
      </c>
      <c r="D914" t="s">
        <v>14</v>
      </c>
      <c r="E914" s="7">
        <v>546</v>
      </c>
      <c r="F914" s="8">
        <v>16800</v>
      </c>
      <c r="G914" s="8">
        <f t="shared" si="56"/>
        <v>21000</v>
      </c>
      <c r="H914" s="8">
        <f t="shared" si="57"/>
        <v>11466000</v>
      </c>
      <c r="I914" s="8">
        <f t="shared" si="58"/>
        <v>9172800</v>
      </c>
      <c r="J914" s="8">
        <f t="shared" si="59"/>
        <v>2293200</v>
      </c>
      <c r="K914" s="9">
        <v>45906</v>
      </c>
      <c r="L914" s="10">
        <f>Table1[[#This Row],[Profit]]/Table1[[#This Row],[Sales]]</f>
        <v>0.2</v>
      </c>
    </row>
    <row r="915" spans="1:12">
      <c r="A915" t="s">
        <v>23</v>
      </c>
      <c r="B915" t="s">
        <v>77</v>
      </c>
      <c r="C915" t="s">
        <v>21</v>
      </c>
      <c r="D915" t="s">
        <v>14</v>
      </c>
      <c r="E915" s="7">
        <v>970</v>
      </c>
      <c r="F915" s="8">
        <v>16778</v>
      </c>
      <c r="G915" s="8">
        <f t="shared" si="56"/>
        <v>20875</v>
      </c>
      <c r="H915" s="8">
        <f t="shared" si="57"/>
        <v>20248750</v>
      </c>
      <c r="I915" s="8">
        <f t="shared" si="58"/>
        <v>16274660</v>
      </c>
      <c r="J915" s="8">
        <f t="shared" si="59"/>
        <v>3974090</v>
      </c>
      <c r="K915" s="9">
        <v>45907</v>
      </c>
      <c r="L915" s="10">
        <f>Table1[[#This Row],[Profit]]/Table1[[#This Row],[Sales]]</f>
        <v>0.19626347305389222</v>
      </c>
    </row>
    <row r="916" spans="1:12">
      <c r="A916" t="s">
        <v>23</v>
      </c>
      <c r="B916" t="s">
        <v>62</v>
      </c>
      <c r="C916" t="s">
        <v>68</v>
      </c>
      <c r="D916" t="s">
        <v>14</v>
      </c>
      <c r="E916" s="7">
        <v>2325</v>
      </c>
      <c r="F916" s="8">
        <v>13900</v>
      </c>
      <c r="G916" s="8">
        <f t="shared" si="56"/>
        <v>17375</v>
      </c>
      <c r="H916" s="8">
        <f t="shared" si="57"/>
        <v>40396875</v>
      </c>
      <c r="I916" s="8">
        <f t="shared" si="58"/>
        <v>32317500</v>
      </c>
      <c r="J916" s="8">
        <f t="shared" si="59"/>
        <v>8079375</v>
      </c>
      <c r="K916" s="9">
        <v>45909</v>
      </c>
      <c r="L916" s="10">
        <f>Table1[[#This Row],[Profit]]/Table1[[#This Row],[Sales]]</f>
        <v>0.2</v>
      </c>
    </row>
    <row r="917" spans="1:12">
      <c r="A917" t="s">
        <v>23</v>
      </c>
      <c r="B917" t="s">
        <v>36</v>
      </c>
      <c r="C917" t="s">
        <v>79</v>
      </c>
      <c r="D917" t="s">
        <v>14</v>
      </c>
      <c r="E917" s="7">
        <v>2466</v>
      </c>
      <c r="F917" s="8">
        <v>9400</v>
      </c>
      <c r="G917" s="8">
        <f t="shared" si="56"/>
        <v>11750</v>
      </c>
      <c r="H917" s="8">
        <f t="shared" si="57"/>
        <v>28975500</v>
      </c>
      <c r="I917" s="8">
        <f t="shared" si="58"/>
        <v>23180400</v>
      </c>
      <c r="J917" s="8">
        <f t="shared" si="59"/>
        <v>5795100</v>
      </c>
      <c r="K917" s="9">
        <v>45910</v>
      </c>
      <c r="L917" s="10">
        <f>Table1[[#This Row],[Profit]]/Table1[[#This Row],[Sales]]</f>
        <v>0.2</v>
      </c>
    </row>
    <row r="918" spans="1:12">
      <c r="A918" t="s">
        <v>23</v>
      </c>
      <c r="B918" t="s">
        <v>62</v>
      </c>
      <c r="C918" t="s">
        <v>31</v>
      </c>
      <c r="D918" t="s">
        <v>14</v>
      </c>
      <c r="E918" s="7">
        <v>421</v>
      </c>
      <c r="F918" s="8">
        <v>9600</v>
      </c>
      <c r="G918" s="8">
        <f t="shared" si="56"/>
        <v>12000</v>
      </c>
      <c r="H918" s="8">
        <f t="shared" si="57"/>
        <v>5052000</v>
      </c>
      <c r="I918" s="8">
        <f t="shared" si="58"/>
        <v>4041600</v>
      </c>
      <c r="J918" s="8">
        <f t="shared" si="59"/>
        <v>1010400</v>
      </c>
      <c r="K918" s="9">
        <v>45912</v>
      </c>
      <c r="L918" s="10">
        <f>Table1[[#This Row],[Profit]]/Table1[[#This Row],[Sales]]</f>
        <v>0.2</v>
      </c>
    </row>
    <row r="919" spans="1:12">
      <c r="A919" t="s">
        <v>23</v>
      </c>
      <c r="B919" t="s">
        <v>39</v>
      </c>
      <c r="C919" t="s">
        <v>31</v>
      </c>
      <c r="D919" t="s">
        <v>14</v>
      </c>
      <c r="E919" s="7">
        <v>553</v>
      </c>
      <c r="F919" s="8">
        <v>21100</v>
      </c>
      <c r="G919" s="8">
        <f t="shared" si="56"/>
        <v>26375</v>
      </c>
      <c r="H919" s="8">
        <f t="shared" si="57"/>
        <v>14585375</v>
      </c>
      <c r="I919" s="8">
        <f t="shared" si="58"/>
        <v>11668300</v>
      </c>
      <c r="J919" s="8">
        <f t="shared" si="59"/>
        <v>2917075</v>
      </c>
      <c r="K919" s="9">
        <v>45914</v>
      </c>
      <c r="L919" s="10">
        <f>Table1[[#This Row],[Profit]]/Table1[[#This Row],[Sales]]</f>
        <v>0.2</v>
      </c>
    </row>
    <row r="920" spans="1:12">
      <c r="A920" t="s">
        <v>23</v>
      </c>
      <c r="B920" t="s">
        <v>39</v>
      </c>
      <c r="C920" t="s">
        <v>63</v>
      </c>
      <c r="D920" t="s">
        <v>14</v>
      </c>
      <c r="E920" s="7">
        <v>240</v>
      </c>
      <c r="F920" s="8">
        <v>15400</v>
      </c>
      <c r="G920" s="8">
        <f t="shared" si="56"/>
        <v>19250</v>
      </c>
      <c r="H920" s="8">
        <f t="shared" si="57"/>
        <v>4620000</v>
      </c>
      <c r="I920" s="8">
        <f t="shared" si="58"/>
        <v>3696000</v>
      </c>
      <c r="J920" s="8">
        <f t="shared" si="59"/>
        <v>924000</v>
      </c>
      <c r="K920" s="9">
        <v>45915</v>
      </c>
      <c r="L920" s="10">
        <f>Table1[[#This Row],[Profit]]/Table1[[#This Row],[Sales]]</f>
        <v>0.2</v>
      </c>
    </row>
    <row r="921" spans="1:12">
      <c r="A921" t="s">
        <v>23</v>
      </c>
      <c r="B921" t="s">
        <v>20</v>
      </c>
      <c r="C921" t="s">
        <v>79</v>
      </c>
      <c r="D921" t="s">
        <v>14</v>
      </c>
      <c r="E921" s="7">
        <v>2749</v>
      </c>
      <c r="F921" s="8">
        <v>4500</v>
      </c>
      <c r="G921" s="8">
        <f t="shared" si="56"/>
        <v>5625</v>
      </c>
      <c r="H921" s="8">
        <f t="shared" si="57"/>
        <v>15463125</v>
      </c>
      <c r="I921" s="8">
        <f t="shared" si="58"/>
        <v>12370500</v>
      </c>
      <c r="J921" s="8">
        <f t="shared" si="59"/>
        <v>3092625</v>
      </c>
      <c r="K921" s="9">
        <v>45917</v>
      </c>
      <c r="L921" s="10">
        <f>Table1[[#This Row],[Profit]]/Table1[[#This Row],[Sales]]</f>
        <v>0.2</v>
      </c>
    </row>
    <row r="922" spans="1:12">
      <c r="A922" t="s">
        <v>23</v>
      </c>
      <c r="B922" t="s">
        <v>98</v>
      </c>
      <c r="C922" t="s">
        <v>34</v>
      </c>
      <c r="D922" t="s">
        <v>14</v>
      </c>
      <c r="E922" s="7">
        <v>2963</v>
      </c>
      <c r="F922" s="8">
        <v>7400</v>
      </c>
      <c r="G922" s="8">
        <f t="shared" si="56"/>
        <v>9250</v>
      </c>
      <c r="H922" s="8">
        <f t="shared" si="57"/>
        <v>27407750</v>
      </c>
      <c r="I922" s="8">
        <f t="shared" si="58"/>
        <v>21926200</v>
      </c>
      <c r="J922" s="8">
        <f t="shared" si="59"/>
        <v>5481550</v>
      </c>
      <c r="K922" s="9">
        <v>45918</v>
      </c>
      <c r="L922" s="10">
        <f>Table1[[#This Row],[Profit]]/Table1[[#This Row],[Sales]]</f>
        <v>0.2</v>
      </c>
    </row>
    <row r="923" spans="1:12">
      <c r="A923" t="s">
        <v>23</v>
      </c>
      <c r="B923" t="s">
        <v>98</v>
      </c>
      <c r="C923" t="s">
        <v>27</v>
      </c>
      <c r="D923" t="s">
        <v>14</v>
      </c>
      <c r="E923" s="7">
        <v>2587</v>
      </c>
      <c r="F923" s="8">
        <v>17900</v>
      </c>
      <c r="G923" s="8">
        <f t="shared" si="56"/>
        <v>22375</v>
      </c>
      <c r="H923" s="8">
        <f t="shared" si="57"/>
        <v>57884125</v>
      </c>
      <c r="I923" s="8">
        <f t="shared" si="58"/>
        <v>46307300</v>
      </c>
      <c r="J923" s="8">
        <f t="shared" si="59"/>
        <v>11576825</v>
      </c>
      <c r="K923" s="9">
        <v>45918</v>
      </c>
      <c r="L923" s="10">
        <f>Table1[[#This Row],[Profit]]/Table1[[#This Row],[Sales]]</f>
        <v>0.2</v>
      </c>
    </row>
    <row r="924" spans="1:12">
      <c r="A924" t="s">
        <v>23</v>
      </c>
      <c r="B924" t="s">
        <v>36</v>
      </c>
      <c r="C924" t="s">
        <v>63</v>
      </c>
      <c r="D924" t="s">
        <v>14</v>
      </c>
      <c r="E924" s="7">
        <v>1103</v>
      </c>
      <c r="F924" s="8">
        <v>1900</v>
      </c>
      <c r="G924" s="8">
        <f t="shared" si="56"/>
        <v>2375</v>
      </c>
      <c r="H924" s="8">
        <f t="shared" si="57"/>
        <v>2619625</v>
      </c>
      <c r="I924" s="8">
        <f t="shared" si="58"/>
        <v>2095700</v>
      </c>
      <c r="J924" s="8">
        <f t="shared" si="59"/>
        <v>523925</v>
      </c>
      <c r="K924" s="9">
        <v>45919</v>
      </c>
      <c r="L924" s="10">
        <f>Table1[[#This Row],[Profit]]/Table1[[#This Row],[Sales]]</f>
        <v>0.2</v>
      </c>
    </row>
    <row r="925" spans="1:12">
      <c r="A925" t="s">
        <v>23</v>
      </c>
      <c r="B925" t="s">
        <v>39</v>
      </c>
      <c r="C925" t="s">
        <v>63</v>
      </c>
      <c r="D925" t="s">
        <v>14</v>
      </c>
      <c r="E925" s="7">
        <v>231</v>
      </c>
      <c r="F925" s="8">
        <v>17300</v>
      </c>
      <c r="G925" s="8">
        <f t="shared" si="56"/>
        <v>21625</v>
      </c>
      <c r="H925" s="8">
        <f t="shared" si="57"/>
        <v>4995375</v>
      </c>
      <c r="I925" s="8">
        <f t="shared" si="58"/>
        <v>3996300</v>
      </c>
      <c r="J925" s="8">
        <f t="shared" si="59"/>
        <v>999075</v>
      </c>
      <c r="K925" s="9">
        <v>45919</v>
      </c>
      <c r="L925" s="10">
        <f>Table1[[#This Row],[Profit]]/Table1[[#This Row],[Sales]]</f>
        <v>0.2</v>
      </c>
    </row>
    <row r="926" spans="1:12">
      <c r="A926" t="s">
        <v>23</v>
      </c>
      <c r="B926" t="s">
        <v>62</v>
      </c>
      <c r="C926" t="s">
        <v>79</v>
      </c>
      <c r="D926" t="s">
        <v>14</v>
      </c>
      <c r="E926" s="7">
        <v>2801</v>
      </c>
      <c r="F926" s="8">
        <v>21700</v>
      </c>
      <c r="G926" s="8">
        <f t="shared" si="56"/>
        <v>27125</v>
      </c>
      <c r="H926" s="8">
        <f t="shared" si="57"/>
        <v>75977125</v>
      </c>
      <c r="I926" s="8">
        <f t="shared" si="58"/>
        <v>60781700</v>
      </c>
      <c r="J926" s="8">
        <f t="shared" si="59"/>
        <v>15195425</v>
      </c>
      <c r="K926" s="9">
        <v>45919</v>
      </c>
      <c r="L926" s="10">
        <f>Table1[[#This Row],[Profit]]/Table1[[#This Row],[Sales]]</f>
        <v>0.2</v>
      </c>
    </row>
    <row r="927" spans="1:12">
      <c r="A927" t="s">
        <v>23</v>
      </c>
      <c r="B927" t="s">
        <v>98</v>
      </c>
      <c r="C927" t="s">
        <v>63</v>
      </c>
      <c r="D927" t="s">
        <v>14</v>
      </c>
      <c r="E927" s="7">
        <v>2253</v>
      </c>
      <c r="F927" s="8">
        <v>14400</v>
      </c>
      <c r="G927" s="8">
        <f t="shared" si="56"/>
        <v>18000</v>
      </c>
      <c r="H927" s="8">
        <f t="shared" si="57"/>
        <v>40554000</v>
      </c>
      <c r="I927" s="8">
        <f t="shared" si="58"/>
        <v>32443200</v>
      </c>
      <c r="J927" s="8">
        <f t="shared" si="59"/>
        <v>8110800</v>
      </c>
      <c r="K927" s="9">
        <v>45921</v>
      </c>
      <c r="L927" s="10">
        <f>Table1[[#This Row],[Profit]]/Table1[[#This Row],[Sales]]</f>
        <v>0.2</v>
      </c>
    </row>
    <row r="928" spans="1:12">
      <c r="A928" t="s">
        <v>23</v>
      </c>
      <c r="B928" t="s">
        <v>26</v>
      </c>
      <c r="C928" t="s">
        <v>13</v>
      </c>
      <c r="D928" t="s">
        <v>14</v>
      </c>
      <c r="E928" s="7">
        <v>2309</v>
      </c>
      <c r="F928" s="8">
        <v>17900</v>
      </c>
      <c r="G928" s="8">
        <f t="shared" si="56"/>
        <v>22375</v>
      </c>
      <c r="H928" s="8">
        <f t="shared" si="57"/>
        <v>51663875</v>
      </c>
      <c r="I928" s="8">
        <f t="shared" si="58"/>
        <v>41331100</v>
      </c>
      <c r="J928" s="8">
        <f t="shared" si="59"/>
        <v>10332775</v>
      </c>
      <c r="K928" s="9">
        <v>45922</v>
      </c>
      <c r="L928" s="10">
        <f>Table1[[#This Row],[Profit]]/Table1[[#This Row],[Sales]]</f>
        <v>0.2</v>
      </c>
    </row>
    <row r="929" spans="1:12">
      <c r="A929" t="s">
        <v>23</v>
      </c>
      <c r="B929" t="s">
        <v>26</v>
      </c>
      <c r="C929" t="s">
        <v>63</v>
      </c>
      <c r="D929" t="s">
        <v>14</v>
      </c>
      <c r="E929" s="7">
        <v>1984</v>
      </c>
      <c r="F929" s="8">
        <v>8300</v>
      </c>
      <c r="G929" s="8">
        <f t="shared" si="56"/>
        <v>10375</v>
      </c>
      <c r="H929" s="8">
        <f t="shared" si="57"/>
        <v>20584000</v>
      </c>
      <c r="I929" s="8">
        <f t="shared" si="58"/>
        <v>16467200</v>
      </c>
      <c r="J929" s="8">
        <f t="shared" si="59"/>
        <v>4116800</v>
      </c>
      <c r="K929" s="9">
        <v>45926</v>
      </c>
      <c r="L929" s="10">
        <f>Table1[[#This Row],[Profit]]/Table1[[#This Row],[Sales]]</f>
        <v>0.2</v>
      </c>
    </row>
    <row r="930" spans="1:12">
      <c r="A930" t="s">
        <v>23</v>
      </c>
      <c r="B930" t="s">
        <v>20</v>
      </c>
      <c r="C930" t="s">
        <v>17</v>
      </c>
      <c r="D930" t="s">
        <v>14</v>
      </c>
      <c r="E930" s="7">
        <v>1159</v>
      </c>
      <c r="F930" s="8">
        <v>10600</v>
      </c>
      <c r="G930" s="8">
        <f t="shared" si="56"/>
        <v>13250</v>
      </c>
      <c r="H930" s="8">
        <f t="shared" si="57"/>
        <v>15356750</v>
      </c>
      <c r="I930" s="8">
        <f t="shared" si="58"/>
        <v>12285400</v>
      </c>
      <c r="J930" s="8">
        <f t="shared" si="59"/>
        <v>3071350</v>
      </c>
      <c r="K930" s="9">
        <v>45927</v>
      </c>
      <c r="L930" s="10">
        <f>Table1[[#This Row],[Profit]]/Table1[[#This Row],[Sales]]</f>
        <v>0.2</v>
      </c>
    </row>
    <row r="931" spans="1:12">
      <c r="A931" t="s">
        <v>23</v>
      </c>
      <c r="B931" t="s">
        <v>97</v>
      </c>
      <c r="C931" t="s">
        <v>27</v>
      </c>
      <c r="D931" t="s">
        <v>14</v>
      </c>
      <c r="E931" s="7">
        <v>2276</v>
      </c>
      <c r="F931" s="8">
        <v>12800</v>
      </c>
      <c r="G931" s="8">
        <f t="shared" si="56"/>
        <v>16000</v>
      </c>
      <c r="H931" s="8">
        <f t="shared" si="57"/>
        <v>36416000</v>
      </c>
      <c r="I931" s="8">
        <f t="shared" si="58"/>
        <v>29132800</v>
      </c>
      <c r="J931" s="8">
        <f t="shared" si="59"/>
        <v>7283200</v>
      </c>
      <c r="K931" s="9">
        <v>45927</v>
      </c>
      <c r="L931" s="10">
        <f>Table1[[#This Row],[Profit]]/Table1[[#This Row],[Sales]]</f>
        <v>0.2</v>
      </c>
    </row>
    <row r="932" spans="1:12">
      <c r="A932" t="s">
        <v>23</v>
      </c>
      <c r="B932" t="s">
        <v>62</v>
      </c>
      <c r="C932" t="s">
        <v>13</v>
      </c>
      <c r="D932" t="s">
        <v>14</v>
      </c>
      <c r="E932" s="7">
        <v>526</v>
      </c>
      <c r="F932" s="8">
        <v>17300</v>
      </c>
      <c r="G932" s="8">
        <f t="shared" si="56"/>
        <v>21625</v>
      </c>
      <c r="H932" s="8">
        <f t="shared" si="57"/>
        <v>11374750</v>
      </c>
      <c r="I932" s="8">
        <f t="shared" si="58"/>
        <v>9099800</v>
      </c>
      <c r="J932" s="8">
        <f t="shared" si="59"/>
        <v>2274950</v>
      </c>
      <c r="K932" s="9">
        <v>45928</v>
      </c>
      <c r="L932" s="10">
        <f>Table1[[#This Row],[Profit]]/Table1[[#This Row],[Sales]]</f>
        <v>0.2</v>
      </c>
    </row>
    <row r="933" spans="1:12">
      <c r="A933" t="s">
        <v>23</v>
      </c>
      <c r="B933" t="s">
        <v>20</v>
      </c>
      <c r="C933" t="s">
        <v>79</v>
      </c>
      <c r="D933" t="s">
        <v>14</v>
      </c>
      <c r="E933" s="7">
        <v>1001</v>
      </c>
      <c r="F933" s="8">
        <v>15200</v>
      </c>
      <c r="G933" s="8">
        <f t="shared" si="56"/>
        <v>19000</v>
      </c>
      <c r="H933" s="8">
        <f t="shared" si="57"/>
        <v>19019000</v>
      </c>
      <c r="I933" s="8">
        <f t="shared" si="58"/>
        <v>15215200</v>
      </c>
      <c r="J933" s="8">
        <f t="shared" si="59"/>
        <v>3803800</v>
      </c>
      <c r="K933" s="9">
        <v>45928</v>
      </c>
      <c r="L933" s="10">
        <f>Table1[[#This Row],[Profit]]/Table1[[#This Row],[Sales]]</f>
        <v>0.2</v>
      </c>
    </row>
    <row r="934" spans="1:12">
      <c r="A934" t="s">
        <v>23</v>
      </c>
      <c r="B934" t="s">
        <v>62</v>
      </c>
      <c r="C934" t="s">
        <v>34</v>
      </c>
      <c r="D934" t="s">
        <v>14</v>
      </c>
      <c r="E934" s="7">
        <v>503</v>
      </c>
      <c r="F934" s="8">
        <v>3100</v>
      </c>
      <c r="G934" s="8">
        <f t="shared" si="56"/>
        <v>3875</v>
      </c>
      <c r="H934" s="8">
        <f t="shared" si="57"/>
        <v>1949125</v>
      </c>
      <c r="I934" s="8">
        <f t="shared" si="58"/>
        <v>1559300</v>
      </c>
      <c r="J934" s="8">
        <f t="shared" si="59"/>
        <v>389825</v>
      </c>
      <c r="K934" s="9">
        <v>45931</v>
      </c>
      <c r="L934" s="10">
        <f>Table1[[#This Row],[Profit]]/Table1[[#This Row],[Sales]]</f>
        <v>0.2</v>
      </c>
    </row>
    <row r="935" spans="1:12">
      <c r="A935" t="s">
        <v>23</v>
      </c>
      <c r="B935" t="s">
        <v>36</v>
      </c>
      <c r="C935" t="s">
        <v>13</v>
      </c>
      <c r="D935" t="s">
        <v>14</v>
      </c>
      <c r="E935" s="7">
        <v>708</v>
      </c>
      <c r="F935" s="8">
        <v>13400</v>
      </c>
      <c r="G935" s="8">
        <f t="shared" si="56"/>
        <v>16750</v>
      </c>
      <c r="H935" s="8">
        <f t="shared" si="57"/>
        <v>11859000</v>
      </c>
      <c r="I935" s="8">
        <f t="shared" si="58"/>
        <v>9487200</v>
      </c>
      <c r="J935" s="8">
        <f t="shared" si="59"/>
        <v>2371800</v>
      </c>
      <c r="K935" s="9">
        <v>45931</v>
      </c>
      <c r="L935" s="10">
        <f>Table1[[#This Row],[Profit]]/Table1[[#This Row],[Sales]]</f>
        <v>0.2</v>
      </c>
    </row>
    <row r="936" spans="1:12">
      <c r="A936" t="s">
        <v>23</v>
      </c>
      <c r="B936" t="s">
        <v>97</v>
      </c>
      <c r="C936" t="s">
        <v>27</v>
      </c>
      <c r="D936" t="s">
        <v>14</v>
      </c>
      <c r="E936" s="7">
        <v>2819</v>
      </c>
      <c r="F936" s="8">
        <v>13600</v>
      </c>
      <c r="G936" s="8">
        <f t="shared" si="56"/>
        <v>17000</v>
      </c>
      <c r="H936" s="8">
        <f t="shared" si="57"/>
        <v>47923000</v>
      </c>
      <c r="I936" s="8">
        <f t="shared" si="58"/>
        <v>38338400</v>
      </c>
      <c r="J936" s="8">
        <f t="shared" si="59"/>
        <v>9584600</v>
      </c>
      <c r="K936" s="9">
        <v>45931</v>
      </c>
      <c r="L936" s="10">
        <f>Table1[[#This Row],[Profit]]/Table1[[#This Row],[Sales]]</f>
        <v>0.2</v>
      </c>
    </row>
    <row r="937" spans="1:12">
      <c r="A937" t="s">
        <v>23</v>
      </c>
      <c r="B937" t="s">
        <v>88</v>
      </c>
      <c r="C937" t="s">
        <v>63</v>
      </c>
      <c r="D937" t="s">
        <v>14</v>
      </c>
      <c r="E937" s="7">
        <v>1038</v>
      </c>
      <c r="F937" s="8">
        <v>19000</v>
      </c>
      <c r="G937" s="8">
        <f t="shared" si="56"/>
        <v>23750</v>
      </c>
      <c r="H937" s="8">
        <f t="shared" si="57"/>
        <v>24652500</v>
      </c>
      <c r="I937" s="8">
        <f t="shared" si="58"/>
        <v>19722000</v>
      </c>
      <c r="J937" s="8">
        <f t="shared" si="59"/>
        <v>4930500</v>
      </c>
      <c r="K937" s="9">
        <v>45934</v>
      </c>
      <c r="L937" s="10">
        <f>Table1[[#This Row],[Profit]]/Table1[[#This Row],[Sales]]</f>
        <v>0.2</v>
      </c>
    </row>
    <row r="938" spans="1:12">
      <c r="A938" t="s">
        <v>23</v>
      </c>
      <c r="B938" t="s">
        <v>36</v>
      </c>
      <c r="C938" t="s">
        <v>27</v>
      </c>
      <c r="D938" t="s">
        <v>14</v>
      </c>
      <c r="E938" s="7">
        <v>274</v>
      </c>
      <c r="F938" s="8">
        <v>6500</v>
      </c>
      <c r="G938" s="8">
        <f t="shared" si="56"/>
        <v>8125</v>
      </c>
      <c r="H938" s="8">
        <f t="shared" si="57"/>
        <v>2226250</v>
      </c>
      <c r="I938" s="8">
        <f t="shared" si="58"/>
        <v>1781000</v>
      </c>
      <c r="J938" s="8">
        <f t="shared" si="59"/>
        <v>445250</v>
      </c>
      <c r="K938" s="9">
        <v>45935</v>
      </c>
      <c r="L938" s="10">
        <f>Table1[[#This Row],[Profit]]/Table1[[#This Row],[Sales]]</f>
        <v>0.2</v>
      </c>
    </row>
    <row r="939" spans="1:12">
      <c r="A939" t="s">
        <v>23</v>
      </c>
      <c r="B939" t="s">
        <v>62</v>
      </c>
      <c r="C939" t="s">
        <v>27</v>
      </c>
      <c r="D939" t="s">
        <v>14</v>
      </c>
      <c r="E939" s="7">
        <v>799</v>
      </c>
      <c r="F939" s="8">
        <v>23300</v>
      </c>
      <c r="G939" s="8">
        <f t="shared" si="56"/>
        <v>29125</v>
      </c>
      <c r="H939" s="8">
        <f t="shared" si="57"/>
        <v>23270875</v>
      </c>
      <c r="I939" s="8">
        <f t="shared" si="58"/>
        <v>18616700</v>
      </c>
      <c r="J939" s="8">
        <f t="shared" si="59"/>
        <v>4654175</v>
      </c>
      <c r="K939" s="9">
        <v>45938</v>
      </c>
      <c r="L939" s="10">
        <f>Table1[[#This Row],[Profit]]/Table1[[#This Row],[Sales]]</f>
        <v>0.2</v>
      </c>
    </row>
    <row r="940" spans="1:12">
      <c r="A940" t="s">
        <v>23</v>
      </c>
      <c r="B940" t="s">
        <v>88</v>
      </c>
      <c r="C940" t="s">
        <v>63</v>
      </c>
      <c r="D940" t="s">
        <v>14</v>
      </c>
      <c r="E940" s="7">
        <v>1996</v>
      </c>
      <c r="F940" s="8">
        <v>8900</v>
      </c>
      <c r="G940" s="8">
        <f t="shared" si="56"/>
        <v>11125</v>
      </c>
      <c r="H940" s="8">
        <f t="shared" si="57"/>
        <v>22205500</v>
      </c>
      <c r="I940" s="8">
        <f t="shared" si="58"/>
        <v>17764400</v>
      </c>
      <c r="J940" s="8">
        <f t="shared" si="59"/>
        <v>4441100</v>
      </c>
      <c r="K940" s="9">
        <v>45939</v>
      </c>
      <c r="L940" s="10">
        <f>Table1[[#This Row],[Profit]]/Table1[[#This Row],[Sales]]</f>
        <v>0.2</v>
      </c>
    </row>
    <row r="941" spans="1:12">
      <c r="A941" t="s">
        <v>23</v>
      </c>
      <c r="B941" t="s">
        <v>36</v>
      </c>
      <c r="C941" t="s">
        <v>34</v>
      </c>
      <c r="D941" t="s">
        <v>14</v>
      </c>
      <c r="E941" s="7">
        <v>933</v>
      </c>
      <c r="F941" s="8">
        <v>19200</v>
      </c>
      <c r="G941" s="8">
        <f t="shared" si="56"/>
        <v>24000</v>
      </c>
      <c r="H941" s="8">
        <f t="shared" si="57"/>
        <v>22392000</v>
      </c>
      <c r="I941" s="8">
        <f t="shared" si="58"/>
        <v>17913600</v>
      </c>
      <c r="J941" s="8">
        <f t="shared" si="59"/>
        <v>4478400</v>
      </c>
      <c r="K941" s="9">
        <v>45940</v>
      </c>
      <c r="L941" s="10">
        <f>Table1[[#This Row],[Profit]]/Table1[[#This Row],[Sales]]</f>
        <v>0.2</v>
      </c>
    </row>
    <row r="942" spans="1:12">
      <c r="A942" t="s">
        <v>23</v>
      </c>
      <c r="B942" t="s">
        <v>51</v>
      </c>
      <c r="C942" t="s">
        <v>21</v>
      </c>
      <c r="D942" t="s">
        <v>14</v>
      </c>
      <c r="E942" s="7">
        <v>2800</v>
      </c>
      <c r="F942" s="8">
        <v>10800</v>
      </c>
      <c r="G942" s="8">
        <f t="shared" si="56"/>
        <v>13500</v>
      </c>
      <c r="H942" s="8">
        <f t="shared" si="57"/>
        <v>37800000</v>
      </c>
      <c r="I942" s="8">
        <f t="shared" si="58"/>
        <v>30240000</v>
      </c>
      <c r="J942" s="8">
        <f t="shared" si="59"/>
        <v>7560000</v>
      </c>
      <c r="K942" s="9">
        <v>45941</v>
      </c>
      <c r="L942" s="10">
        <f>Table1[[#This Row],[Profit]]/Table1[[#This Row],[Sales]]</f>
        <v>0.2</v>
      </c>
    </row>
    <row r="943" spans="1:12">
      <c r="A943" t="s">
        <v>23</v>
      </c>
      <c r="B943" t="s">
        <v>36</v>
      </c>
      <c r="C943" t="s">
        <v>21</v>
      </c>
      <c r="D943" t="s">
        <v>14</v>
      </c>
      <c r="E943" s="7">
        <v>2088</v>
      </c>
      <c r="F943" s="8">
        <v>3200</v>
      </c>
      <c r="G943" s="8">
        <f t="shared" si="56"/>
        <v>4000</v>
      </c>
      <c r="H943" s="8">
        <f t="shared" si="57"/>
        <v>8352000</v>
      </c>
      <c r="I943" s="8">
        <f t="shared" si="58"/>
        <v>6681600</v>
      </c>
      <c r="J943" s="8">
        <f t="shared" si="59"/>
        <v>1670400</v>
      </c>
      <c r="K943" s="9">
        <v>45942</v>
      </c>
      <c r="L943" s="10">
        <f>Table1[[#This Row],[Profit]]/Table1[[#This Row],[Sales]]</f>
        <v>0.2</v>
      </c>
    </row>
    <row r="944" spans="1:12">
      <c r="A944" t="s">
        <v>23</v>
      </c>
      <c r="B944" t="s">
        <v>77</v>
      </c>
      <c r="C944" t="s">
        <v>17</v>
      </c>
      <c r="D944" t="s">
        <v>14</v>
      </c>
      <c r="E944" s="7">
        <v>329</v>
      </c>
      <c r="F944" s="8">
        <v>11200</v>
      </c>
      <c r="G944" s="8">
        <f t="shared" si="56"/>
        <v>14000</v>
      </c>
      <c r="H944" s="8">
        <f t="shared" si="57"/>
        <v>4606000</v>
      </c>
      <c r="I944" s="8">
        <f t="shared" si="58"/>
        <v>3684800</v>
      </c>
      <c r="J944" s="8">
        <f t="shared" si="59"/>
        <v>921200</v>
      </c>
      <c r="K944" s="9">
        <v>45942</v>
      </c>
      <c r="L944" s="10">
        <f>Table1[[#This Row],[Profit]]/Table1[[#This Row],[Sales]]</f>
        <v>0.2</v>
      </c>
    </row>
    <row r="945" spans="1:12">
      <c r="A945" t="s">
        <v>23</v>
      </c>
      <c r="B945" t="s">
        <v>77</v>
      </c>
      <c r="C945" t="s">
        <v>37</v>
      </c>
      <c r="D945" t="s">
        <v>14</v>
      </c>
      <c r="E945" s="7">
        <v>179</v>
      </c>
      <c r="F945" s="8">
        <v>13400</v>
      </c>
      <c r="G945" s="8">
        <f t="shared" si="56"/>
        <v>16750</v>
      </c>
      <c r="H945" s="8">
        <f t="shared" si="57"/>
        <v>2998250</v>
      </c>
      <c r="I945" s="8">
        <f t="shared" si="58"/>
        <v>2398600</v>
      </c>
      <c r="J945" s="8">
        <f t="shared" si="59"/>
        <v>599650</v>
      </c>
      <c r="K945" s="9">
        <v>45943</v>
      </c>
      <c r="L945" s="10">
        <f>Table1[[#This Row],[Profit]]/Table1[[#This Row],[Sales]]</f>
        <v>0.2</v>
      </c>
    </row>
    <row r="946" spans="1:12">
      <c r="A946" t="s">
        <v>23</v>
      </c>
      <c r="B946" t="s">
        <v>39</v>
      </c>
      <c r="C946" t="s">
        <v>34</v>
      </c>
      <c r="D946" t="s">
        <v>14</v>
      </c>
      <c r="E946" s="7">
        <v>738</v>
      </c>
      <c r="F946" s="8">
        <v>3500</v>
      </c>
      <c r="G946" s="8">
        <f t="shared" si="56"/>
        <v>4375</v>
      </c>
      <c r="H946" s="8">
        <f t="shared" si="57"/>
        <v>3228750</v>
      </c>
      <c r="I946" s="8">
        <f t="shared" si="58"/>
        <v>2583000</v>
      </c>
      <c r="J946" s="8">
        <f t="shared" si="59"/>
        <v>645750</v>
      </c>
      <c r="K946" s="9">
        <v>45946</v>
      </c>
      <c r="L946" s="10">
        <f>Table1[[#This Row],[Profit]]/Table1[[#This Row],[Sales]]</f>
        <v>0.2</v>
      </c>
    </row>
    <row r="947" spans="1:12">
      <c r="A947" t="s">
        <v>23</v>
      </c>
      <c r="B947" t="s">
        <v>39</v>
      </c>
      <c r="C947" t="s">
        <v>21</v>
      </c>
      <c r="D947" t="s">
        <v>14</v>
      </c>
      <c r="E947" s="7">
        <v>2666</v>
      </c>
      <c r="F947" s="8">
        <v>8300</v>
      </c>
      <c r="G947" s="8">
        <f t="shared" si="56"/>
        <v>10375</v>
      </c>
      <c r="H947" s="8">
        <f t="shared" si="57"/>
        <v>27659750</v>
      </c>
      <c r="I947" s="8">
        <f t="shared" si="58"/>
        <v>22127800</v>
      </c>
      <c r="J947" s="8">
        <f t="shared" si="59"/>
        <v>5531950</v>
      </c>
      <c r="K947" s="9">
        <v>45948</v>
      </c>
      <c r="L947" s="10">
        <f>Table1[[#This Row],[Profit]]/Table1[[#This Row],[Sales]]</f>
        <v>0.2</v>
      </c>
    </row>
    <row r="948" spans="1:12">
      <c r="A948" t="s">
        <v>23</v>
      </c>
      <c r="B948" t="s">
        <v>98</v>
      </c>
      <c r="C948" t="s">
        <v>37</v>
      </c>
      <c r="D948" t="s">
        <v>14</v>
      </c>
      <c r="E948" s="7">
        <v>1944</v>
      </c>
      <c r="F948" s="8">
        <v>19800</v>
      </c>
      <c r="G948" s="8">
        <f t="shared" si="56"/>
        <v>24750</v>
      </c>
      <c r="H948" s="8">
        <f t="shared" si="57"/>
        <v>48114000</v>
      </c>
      <c r="I948" s="8">
        <f t="shared" si="58"/>
        <v>38491200</v>
      </c>
      <c r="J948" s="8">
        <f t="shared" si="59"/>
        <v>9622800</v>
      </c>
      <c r="K948" s="9">
        <v>45949</v>
      </c>
      <c r="L948" s="10">
        <f>Table1[[#This Row],[Profit]]/Table1[[#This Row],[Sales]]</f>
        <v>0.2</v>
      </c>
    </row>
    <row r="949" spans="1:12">
      <c r="A949" t="s">
        <v>23</v>
      </c>
      <c r="B949" t="s">
        <v>39</v>
      </c>
      <c r="C949" t="s">
        <v>17</v>
      </c>
      <c r="D949" t="s">
        <v>14</v>
      </c>
      <c r="E949" s="7">
        <v>2194</v>
      </c>
      <c r="F949" s="8">
        <v>2900</v>
      </c>
      <c r="G949" s="8">
        <f t="shared" si="56"/>
        <v>3625</v>
      </c>
      <c r="H949" s="8">
        <f t="shared" si="57"/>
        <v>7953250</v>
      </c>
      <c r="I949" s="8">
        <f t="shared" si="58"/>
        <v>6362600</v>
      </c>
      <c r="J949" s="8">
        <f t="shared" si="59"/>
        <v>1590650</v>
      </c>
      <c r="K949" s="9">
        <v>45951</v>
      </c>
      <c r="L949" s="10">
        <f>Table1[[#This Row],[Profit]]/Table1[[#This Row],[Sales]]</f>
        <v>0.2</v>
      </c>
    </row>
    <row r="950" spans="1:12">
      <c r="A950" t="s">
        <v>23</v>
      </c>
      <c r="B950" t="s">
        <v>39</v>
      </c>
      <c r="C950" t="s">
        <v>79</v>
      </c>
      <c r="D950" t="s">
        <v>14</v>
      </c>
      <c r="E950" s="7">
        <v>1657</v>
      </c>
      <c r="F950" s="8">
        <v>4800</v>
      </c>
      <c r="G950" s="8">
        <f t="shared" si="56"/>
        <v>6000</v>
      </c>
      <c r="H950" s="8">
        <f t="shared" si="57"/>
        <v>9942000</v>
      </c>
      <c r="I950" s="8">
        <f t="shared" si="58"/>
        <v>7953600</v>
      </c>
      <c r="J950" s="8">
        <f t="shared" si="59"/>
        <v>1988400</v>
      </c>
      <c r="K950" s="9">
        <v>45951</v>
      </c>
      <c r="L950" s="10">
        <f>Table1[[#This Row],[Profit]]/Table1[[#This Row],[Sales]]</f>
        <v>0.2</v>
      </c>
    </row>
    <row r="951" spans="1:12">
      <c r="A951" t="s">
        <v>23</v>
      </c>
      <c r="B951" t="s">
        <v>26</v>
      </c>
      <c r="C951" t="s">
        <v>13</v>
      </c>
      <c r="D951" t="s">
        <v>14</v>
      </c>
      <c r="E951" s="7">
        <v>925</v>
      </c>
      <c r="F951" s="8">
        <v>15300</v>
      </c>
      <c r="G951" s="8">
        <f t="shared" si="56"/>
        <v>19125</v>
      </c>
      <c r="H951" s="8">
        <f t="shared" si="57"/>
        <v>17690625</v>
      </c>
      <c r="I951" s="8">
        <f t="shared" si="58"/>
        <v>14152500</v>
      </c>
      <c r="J951" s="8">
        <f t="shared" si="59"/>
        <v>3538125</v>
      </c>
      <c r="K951" s="9">
        <v>45954</v>
      </c>
      <c r="L951" s="10">
        <f>Table1[[#This Row],[Profit]]/Table1[[#This Row],[Sales]]</f>
        <v>0.2</v>
      </c>
    </row>
    <row r="952" spans="1:12">
      <c r="A952" t="s">
        <v>23</v>
      </c>
      <c r="B952" t="s">
        <v>39</v>
      </c>
      <c r="C952" t="s">
        <v>63</v>
      </c>
      <c r="D952" t="s">
        <v>14</v>
      </c>
      <c r="E952" s="7">
        <v>1644</v>
      </c>
      <c r="F952" s="8">
        <v>5100</v>
      </c>
      <c r="G952" s="8">
        <f t="shared" si="56"/>
        <v>6375</v>
      </c>
      <c r="H952" s="8">
        <f t="shared" si="57"/>
        <v>10480500</v>
      </c>
      <c r="I952" s="8">
        <f t="shared" si="58"/>
        <v>8384400</v>
      </c>
      <c r="J952" s="8">
        <f t="shared" si="59"/>
        <v>2096100</v>
      </c>
      <c r="K952" s="9">
        <v>45955</v>
      </c>
      <c r="L952" s="10">
        <f>Table1[[#This Row],[Profit]]/Table1[[#This Row],[Sales]]</f>
        <v>0.2</v>
      </c>
    </row>
    <row r="953" spans="1:12">
      <c r="A953" t="s">
        <v>23</v>
      </c>
      <c r="B953" t="s">
        <v>88</v>
      </c>
      <c r="C953" t="s">
        <v>27</v>
      </c>
      <c r="D953" t="s">
        <v>14</v>
      </c>
      <c r="E953" s="7">
        <v>1057</v>
      </c>
      <c r="F953" s="8">
        <v>8900</v>
      </c>
      <c r="G953" s="8">
        <f t="shared" si="56"/>
        <v>11125</v>
      </c>
      <c r="H953" s="8">
        <f t="shared" si="57"/>
        <v>11759125</v>
      </c>
      <c r="I953" s="8">
        <f t="shared" si="58"/>
        <v>9407300</v>
      </c>
      <c r="J953" s="8">
        <f t="shared" si="59"/>
        <v>2351825</v>
      </c>
      <c r="K953" s="9">
        <v>45956</v>
      </c>
      <c r="L953" s="10">
        <f>Table1[[#This Row],[Profit]]/Table1[[#This Row],[Sales]]</f>
        <v>0.2</v>
      </c>
    </row>
    <row r="954" spans="1:12">
      <c r="A954" t="s">
        <v>23</v>
      </c>
      <c r="B954" t="s">
        <v>20</v>
      </c>
      <c r="C954" t="s">
        <v>63</v>
      </c>
      <c r="D954" t="s">
        <v>14</v>
      </c>
      <c r="E954" s="7">
        <v>2716</v>
      </c>
      <c r="F954" s="8">
        <v>14800</v>
      </c>
      <c r="G954" s="8">
        <f t="shared" si="56"/>
        <v>18500</v>
      </c>
      <c r="H954" s="8">
        <f t="shared" si="57"/>
        <v>50246000</v>
      </c>
      <c r="I954" s="8">
        <f t="shared" si="58"/>
        <v>40196800</v>
      </c>
      <c r="J954" s="8">
        <f t="shared" si="59"/>
        <v>10049200</v>
      </c>
      <c r="K954" s="9">
        <v>45956</v>
      </c>
      <c r="L954" s="10">
        <f>Table1[[#This Row],[Profit]]/Table1[[#This Row],[Sales]]</f>
        <v>0.2</v>
      </c>
    </row>
    <row r="955" spans="1:12">
      <c r="A955" t="s">
        <v>23</v>
      </c>
      <c r="B955" t="s">
        <v>39</v>
      </c>
      <c r="C955" t="s">
        <v>63</v>
      </c>
      <c r="D955" t="s">
        <v>14</v>
      </c>
      <c r="E955" s="7">
        <v>1869</v>
      </c>
      <c r="F955" s="8">
        <v>10100</v>
      </c>
      <c r="G955" s="8">
        <f t="shared" si="56"/>
        <v>12625</v>
      </c>
      <c r="H955" s="8">
        <f t="shared" si="57"/>
        <v>23596125</v>
      </c>
      <c r="I955" s="8">
        <f t="shared" si="58"/>
        <v>18876900</v>
      </c>
      <c r="J955" s="8">
        <f t="shared" si="59"/>
        <v>4719225</v>
      </c>
      <c r="K955" s="9">
        <v>45959</v>
      </c>
      <c r="L955" s="10">
        <f>Table1[[#This Row],[Profit]]/Table1[[#This Row],[Sales]]</f>
        <v>0.2</v>
      </c>
    </row>
    <row r="956" spans="1:12">
      <c r="A956" t="s">
        <v>23</v>
      </c>
      <c r="B956" t="s">
        <v>88</v>
      </c>
      <c r="C956" t="s">
        <v>79</v>
      </c>
      <c r="D956" t="s">
        <v>14</v>
      </c>
      <c r="E956" s="7">
        <v>1957</v>
      </c>
      <c r="F956" s="8">
        <v>22900</v>
      </c>
      <c r="G956" s="8">
        <f t="shared" si="56"/>
        <v>28625</v>
      </c>
      <c r="H956" s="8">
        <f t="shared" si="57"/>
        <v>56019125</v>
      </c>
      <c r="I956" s="8">
        <f t="shared" si="58"/>
        <v>44815300</v>
      </c>
      <c r="J956" s="8">
        <f t="shared" si="59"/>
        <v>11203825</v>
      </c>
      <c r="K956" s="9">
        <v>45961</v>
      </c>
      <c r="L956" s="10">
        <f>Table1[[#This Row],[Profit]]/Table1[[#This Row],[Sales]]</f>
        <v>0.2</v>
      </c>
    </row>
    <row r="957" spans="1:12">
      <c r="A957" t="s">
        <v>23</v>
      </c>
      <c r="B957" t="s">
        <v>98</v>
      </c>
      <c r="C957" t="s">
        <v>34</v>
      </c>
      <c r="D957" t="s">
        <v>14</v>
      </c>
      <c r="E957" s="7">
        <v>1569</v>
      </c>
      <c r="F957" s="8">
        <v>20400</v>
      </c>
      <c r="G957" s="8">
        <f t="shared" si="56"/>
        <v>25500</v>
      </c>
      <c r="H957" s="8">
        <f t="shared" si="57"/>
        <v>40009500</v>
      </c>
      <c r="I957" s="8">
        <f t="shared" si="58"/>
        <v>32007600</v>
      </c>
      <c r="J957" s="8">
        <f t="shared" si="59"/>
        <v>8001900</v>
      </c>
      <c r="K957" s="9">
        <v>45961</v>
      </c>
      <c r="L957" s="10">
        <f>Table1[[#This Row],[Profit]]/Table1[[#This Row],[Sales]]</f>
        <v>0.2</v>
      </c>
    </row>
    <row r="958" spans="1:12">
      <c r="A958" t="s">
        <v>23</v>
      </c>
      <c r="B958" t="s">
        <v>20</v>
      </c>
      <c r="C958" t="s">
        <v>27</v>
      </c>
      <c r="D958" t="s">
        <v>14</v>
      </c>
      <c r="E958" s="7">
        <v>184</v>
      </c>
      <c r="F958" s="8">
        <v>7000</v>
      </c>
      <c r="G958" s="8">
        <f t="shared" si="56"/>
        <v>8750</v>
      </c>
      <c r="H958" s="8">
        <f t="shared" si="57"/>
        <v>1610000</v>
      </c>
      <c r="I958" s="8">
        <f t="shared" si="58"/>
        <v>1288000</v>
      </c>
      <c r="J958" s="8">
        <f t="shared" si="59"/>
        <v>322000</v>
      </c>
      <c r="K958" s="9">
        <v>45963</v>
      </c>
      <c r="L958" s="10">
        <f>Table1[[#This Row],[Profit]]/Table1[[#This Row],[Sales]]</f>
        <v>0.2</v>
      </c>
    </row>
    <row r="959" spans="1:12">
      <c r="A959" t="s">
        <v>23</v>
      </c>
      <c r="B959" t="s">
        <v>98</v>
      </c>
      <c r="C959" t="s">
        <v>13</v>
      </c>
      <c r="D959" t="s">
        <v>14</v>
      </c>
      <c r="E959" s="7">
        <v>2835</v>
      </c>
      <c r="F959" s="8">
        <v>14500</v>
      </c>
      <c r="G959" s="8">
        <f t="shared" si="56"/>
        <v>18125</v>
      </c>
      <c r="H959" s="8">
        <f t="shared" si="57"/>
        <v>51384375</v>
      </c>
      <c r="I959" s="8">
        <f t="shared" si="58"/>
        <v>41107500</v>
      </c>
      <c r="J959" s="8">
        <f t="shared" si="59"/>
        <v>10276875</v>
      </c>
      <c r="K959" s="9">
        <v>45967</v>
      </c>
      <c r="L959" s="10">
        <f>Table1[[#This Row],[Profit]]/Table1[[#This Row],[Sales]]</f>
        <v>0.2</v>
      </c>
    </row>
    <row r="960" spans="1:12">
      <c r="A960" t="s">
        <v>23</v>
      </c>
      <c r="B960" t="s">
        <v>20</v>
      </c>
      <c r="C960" t="s">
        <v>27</v>
      </c>
      <c r="D960" t="s">
        <v>14</v>
      </c>
      <c r="E960" s="7">
        <v>2612</v>
      </c>
      <c r="F960" s="8">
        <v>14400</v>
      </c>
      <c r="G960" s="8">
        <f t="shared" si="56"/>
        <v>18000</v>
      </c>
      <c r="H960" s="8">
        <f t="shared" si="57"/>
        <v>47016000</v>
      </c>
      <c r="I960" s="8">
        <f t="shared" si="58"/>
        <v>37612800</v>
      </c>
      <c r="J960" s="8">
        <f t="shared" si="59"/>
        <v>9403200</v>
      </c>
      <c r="K960" s="9">
        <v>45968</v>
      </c>
      <c r="L960" s="10">
        <f>Table1[[#This Row],[Profit]]/Table1[[#This Row],[Sales]]</f>
        <v>0.2</v>
      </c>
    </row>
    <row r="961" spans="1:12">
      <c r="A961" t="s">
        <v>23</v>
      </c>
      <c r="B961" t="s">
        <v>26</v>
      </c>
      <c r="C961" t="s">
        <v>68</v>
      </c>
      <c r="D961" t="s">
        <v>14</v>
      </c>
      <c r="E961" s="7">
        <v>795</v>
      </c>
      <c r="F961" s="8">
        <v>12300</v>
      </c>
      <c r="G961" s="8">
        <f t="shared" si="56"/>
        <v>15375</v>
      </c>
      <c r="H961" s="8">
        <f t="shared" si="57"/>
        <v>12223125</v>
      </c>
      <c r="I961" s="8">
        <f t="shared" si="58"/>
        <v>9778500</v>
      </c>
      <c r="J961" s="8">
        <f t="shared" si="59"/>
        <v>2444625</v>
      </c>
      <c r="K961" s="9">
        <v>45969</v>
      </c>
      <c r="L961" s="10">
        <f>Table1[[#This Row],[Profit]]/Table1[[#This Row],[Sales]]</f>
        <v>0.2</v>
      </c>
    </row>
    <row r="962" spans="1:12">
      <c r="A962" t="s">
        <v>23</v>
      </c>
      <c r="B962" t="s">
        <v>98</v>
      </c>
      <c r="C962" t="s">
        <v>68</v>
      </c>
      <c r="D962" t="s">
        <v>14</v>
      </c>
      <c r="E962" s="7">
        <v>2417</v>
      </c>
      <c r="F962" s="8">
        <v>2600</v>
      </c>
      <c r="G962" s="8">
        <f t="shared" ref="G962:G1025" si="60">ROUNDDOWN(F962/100,0)*100*1.25</f>
        <v>3250</v>
      </c>
      <c r="H962" s="8">
        <f t="shared" ref="H962:H1025" si="61">E962*G962</f>
        <v>7855250</v>
      </c>
      <c r="I962" s="8">
        <f t="shared" ref="I962:I1001" si="62">E962*F962</f>
        <v>6284200</v>
      </c>
      <c r="J962" s="8">
        <f t="shared" ref="J962:J1025" si="63">H962-I962</f>
        <v>1571050</v>
      </c>
      <c r="K962" s="9">
        <v>45970</v>
      </c>
      <c r="L962" s="10">
        <f>Table1[[#This Row],[Profit]]/Table1[[#This Row],[Sales]]</f>
        <v>0.2</v>
      </c>
    </row>
    <row r="963" spans="1:12">
      <c r="A963" t="s">
        <v>23</v>
      </c>
      <c r="B963" t="s">
        <v>97</v>
      </c>
      <c r="C963" t="s">
        <v>34</v>
      </c>
      <c r="D963" t="s">
        <v>14</v>
      </c>
      <c r="E963" s="7">
        <v>600</v>
      </c>
      <c r="F963" s="8">
        <v>5500</v>
      </c>
      <c r="G963" s="8">
        <f t="shared" si="60"/>
        <v>6875</v>
      </c>
      <c r="H963" s="8">
        <f t="shared" si="61"/>
        <v>4125000</v>
      </c>
      <c r="I963" s="8">
        <f t="shared" si="62"/>
        <v>3300000</v>
      </c>
      <c r="J963" s="8">
        <f t="shared" si="63"/>
        <v>825000</v>
      </c>
      <c r="K963" s="9">
        <v>45972</v>
      </c>
      <c r="L963" s="10">
        <f>Table1[[#This Row],[Profit]]/Table1[[#This Row],[Sales]]</f>
        <v>0.2</v>
      </c>
    </row>
    <row r="964" spans="1:12">
      <c r="A964" t="s">
        <v>23</v>
      </c>
      <c r="B964" t="s">
        <v>97</v>
      </c>
      <c r="C964" t="s">
        <v>68</v>
      </c>
      <c r="D964" t="s">
        <v>14</v>
      </c>
      <c r="E964" s="7">
        <v>1173</v>
      </c>
      <c r="F964" s="8">
        <v>19300</v>
      </c>
      <c r="G964" s="8">
        <f t="shared" si="60"/>
        <v>24125</v>
      </c>
      <c r="H964" s="8">
        <f t="shared" si="61"/>
        <v>28298625</v>
      </c>
      <c r="I964" s="8">
        <f t="shared" si="62"/>
        <v>22638900</v>
      </c>
      <c r="J964" s="8">
        <f t="shared" si="63"/>
        <v>5659725</v>
      </c>
      <c r="K964" s="9">
        <v>45972</v>
      </c>
      <c r="L964" s="10">
        <f>Table1[[#This Row],[Profit]]/Table1[[#This Row],[Sales]]</f>
        <v>0.2</v>
      </c>
    </row>
    <row r="965" spans="1:12">
      <c r="A965" t="s">
        <v>23</v>
      </c>
      <c r="B965" t="s">
        <v>20</v>
      </c>
      <c r="C965" t="s">
        <v>13</v>
      </c>
      <c r="D965" t="s">
        <v>14</v>
      </c>
      <c r="E965" s="7">
        <v>2087</v>
      </c>
      <c r="F965" s="8">
        <v>17800</v>
      </c>
      <c r="G965" s="8">
        <f t="shared" si="60"/>
        <v>22250</v>
      </c>
      <c r="H965" s="8">
        <f t="shared" si="61"/>
        <v>46435750</v>
      </c>
      <c r="I965" s="8">
        <f t="shared" si="62"/>
        <v>37148600</v>
      </c>
      <c r="J965" s="8">
        <f t="shared" si="63"/>
        <v>9287150</v>
      </c>
      <c r="K965" s="9">
        <v>45973</v>
      </c>
      <c r="L965" s="10">
        <f>Table1[[#This Row],[Profit]]/Table1[[#This Row],[Sales]]</f>
        <v>0.2</v>
      </c>
    </row>
    <row r="966" spans="1:12">
      <c r="A966" t="s">
        <v>23</v>
      </c>
      <c r="B966" t="s">
        <v>97</v>
      </c>
      <c r="C966" t="s">
        <v>31</v>
      </c>
      <c r="D966" t="s">
        <v>14</v>
      </c>
      <c r="E966" s="7">
        <v>1195</v>
      </c>
      <c r="F966" s="8">
        <v>23800</v>
      </c>
      <c r="G966" s="8">
        <f t="shared" si="60"/>
        <v>29750</v>
      </c>
      <c r="H966" s="8">
        <f t="shared" si="61"/>
        <v>35551250</v>
      </c>
      <c r="I966" s="8">
        <f t="shared" si="62"/>
        <v>28441000</v>
      </c>
      <c r="J966" s="8">
        <f t="shared" si="63"/>
        <v>7110250</v>
      </c>
      <c r="K966" s="9">
        <v>45974</v>
      </c>
      <c r="L966" s="10">
        <f>Table1[[#This Row],[Profit]]/Table1[[#This Row],[Sales]]</f>
        <v>0.2</v>
      </c>
    </row>
    <row r="967" spans="1:12">
      <c r="A967" t="s">
        <v>23</v>
      </c>
      <c r="B967" t="s">
        <v>26</v>
      </c>
      <c r="C967" t="s">
        <v>34</v>
      </c>
      <c r="D967" t="s">
        <v>14</v>
      </c>
      <c r="E967" s="7">
        <v>2432</v>
      </c>
      <c r="F967" s="8">
        <v>13300</v>
      </c>
      <c r="G967" s="8">
        <f t="shared" si="60"/>
        <v>16625</v>
      </c>
      <c r="H967" s="8">
        <f t="shared" si="61"/>
        <v>40432000</v>
      </c>
      <c r="I967" s="8">
        <f t="shared" si="62"/>
        <v>32345600</v>
      </c>
      <c r="J967" s="8">
        <f t="shared" si="63"/>
        <v>8086400</v>
      </c>
      <c r="K967" s="9">
        <v>45977</v>
      </c>
      <c r="L967" s="10">
        <f>Table1[[#This Row],[Profit]]/Table1[[#This Row],[Sales]]</f>
        <v>0.2</v>
      </c>
    </row>
    <row r="968" spans="1:12">
      <c r="A968" t="s">
        <v>23</v>
      </c>
      <c r="B968" t="s">
        <v>97</v>
      </c>
      <c r="C968" t="s">
        <v>31</v>
      </c>
      <c r="D968" t="s">
        <v>14</v>
      </c>
      <c r="E968" s="7">
        <v>1603</v>
      </c>
      <c r="F968" s="8">
        <v>10100</v>
      </c>
      <c r="G968" s="8">
        <f t="shared" si="60"/>
        <v>12625</v>
      </c>
      <c r="H968" s="8">
        <f t="shared" si="61"/>
        <v>20237875</v>
      </c>
      <c r="I968" s="8">
        <f t="shared" si="62"/>
        <v>16190300</v>
      </c>
      <c r="J968" s="8">
        <f t="shared" si="63"/>
        <v>4047575</v>
      </c>
      <c r="K968" s="9">
        <v>45978</v>
      </c>
      <c r="L968" s="10">
        <f>Table1[[#This Row],[Profit]]/Table1[[#This Row],[Sales]]</f>
        <v>0.2</v>
      </c>
    </row>
    <row r="969" spans="1:12">
      <c r="A969" t="s">
        <v>23</v>
      </c>
      <c r="B969" t="s">
        <v>39</v>
      </c>
      <c r="C969" t="s">
        <v>27</v>
      </c>
      <c r="D969" t="s">
        <v>14</v>
      </c>
      <c r="E969" s="7">
        <v>2334</v>
      </c>
      <c r="F969" s="8">
        <v>5700</v>
      </c>
      <c r="G969" s="8">
        <f t="shared" si="60"/>
        <v>7125</v>
      </c>
      <c r="H969" s="8">
        <f t="shared" si="61"/>
        <v>16629750</v>
      </c>
      <c r="I969" s="8">
        <f t="shared" si="62"/>
        <v>13303800</v>
      </c>
      <c r="J969" s="8">
        <f t="shared" si="63"/>
        <v>3325950</v>
      </c>
      <c r="K969" s="9">
        <v>45980</v>
      </c>
      <c r="L969" s="10">
        <f>Table1[[#This Row],[Profit]]/Table1[[#This Row],[Sales]]</f>
        <v>0.2</v>
      </c>
    </row>
    <row r="970" spans="1:12">
      <c r="A970" t="s">
        <v>23</v>
      </c>
      <c r="B970" t="s">
        <v>77</v>
      </c>
      <c r="C970" t="s">
        <v>17</v>
      </c>
      <c r="D970" t="s">
        <v>14</v>
      </c>
      <c r="E970" s="7">
        <v>1784</v>
      </c>
      <c r="F970" s="8">
        <v>21500</v>
      </c>
      <c r="G970" s="8">
        <f t="shared" si="60"/>
        <v>26875</v>
      </c>
      <c r="H970" s="8">
        <f t="shared" si="61"/>
        <v>47945000</v>
      </c>
      <c r="I970" s="8">
        <f t="shared" si="62"/>
        <v>38356000</v>
      </c>
      <c r="J970" s="8">
        <f t="shared" si="63"/>
        <v>9589000</v>
      </c>
      <c r="K970" s="9">
        <v>45980</v>
      </c>
      <c r="L970" s="10">
        <f>Table1[[#This Row],[Profit]]/Table1[[#This Row],[Sales]]</f>
        <v>0.2</v>
      </c>
    </row>
    <row r="971" spans="1:12">
      <c r="A971" t="s">
        <v>23</v>
      </c>
      <c r="B971" t="s">
        <v>88</v>
      </c>
      <c r="C971" t="s">
        <v>34</v>
      </c>
      <c r="D971" t="s">
        <v>14</v>
      </c>
      <c r="E971" s="7">
        <v>1520</v>
      </c>
      <c r="F971" s="8">
        <v>23200</v>
      </c>
      <c r="G971" s="8">
        <f t="shared" si="60"/>
        <v>29000</v>
      </c>
      <c r="H971" s="8">
        <f t="shared" si="61"/>
        <v>44080000</v>
      </c>
      <c r="I971" s="8">
        <f t="shared" si="62"/>
        <v>35264000</v>
      </c>
      <c r="J971" s="8">
        <f t="shared" si="63"/>
        <v>8816000</v>
      </c>
      <c r="K971" s="9">
        <v>45981</v>
      </c>
      <c r="L971" s="10">
        <f>Table1[[#This Row],[Profit]]/Table1[[#This Row],[Sales]]</f>
        <v>0.2</v>
      </c>
    </row>
    <row r="972" spans="1:12">
      <c r="A972" t="s">
        <v>23</v>
      </c>
      <c r="B972" t="s">
        <v>62</v>
      </c>
      <c r="C972" t="s">
        <v>31</v>
      </c>
      <c r="D972" t="s">
        <v>14</v>
      </c>
      <c r="E972" s="7">
        <v>499</v>
      </c>
      <c r="F972" s="8">
        <v>13500</v>
      </c>
      <c r="G972" s="8">
        <f t="shared" si="60"/>
        <v>16875</v>
      </c>
      <c r="H972" s="8">
        <f t="shared" si="61"/>
        <v>8420625</v>
      </c>
      <c r="I972" s="8">
        <f t="shared" si="62"/>
        <v>6736500</v>
      </c>
      <c r="J972" s="8">
        <f t="shared" si="63"/>
        <v>1684125</v>
      </c>
      <c r="K972" s="9">
        <v>45989</v>
      </c>
      <c r="L972" s="10">
        <f>Table1[[#This Row],[Profit]]/Table1[[#This Row],[Sales]]</f>
        <v>0.2</v>
      </c>
    </row>
    <row r="973" spans="1:12">
      <c r="A973" t="s">
        <v>23</v>
      </c>
      <c r="B973" t="s">
        <v>62</v>
      </c>
      <c r="C973" t="s">
        <v>34</v>
      </c>
      <c r="D973" t="s">
        <v>14</v>
      </c>
      <c r="E973" s="7">
        <v>327</v>
      </c>
      <c r="F973" s="8">
        <v>4200</v>
      </c>
      <c r="G973" s="8">
        <f t="shared" si="60"/>
        <v>5250</v>
      </c>
      <c r="H973" s="8">
        <f t="shared" si="61"/>
        <v>1716750</v>
      </c>
      <c r="I973" s="8">
        <f t="shared" si="62"/>
        <v>1373400</v>
      </c>
      <c r="J973" s="8">
        <f t="shared" si="63"/>
        <v>343350</v>
      </c>
      <c r="K973" s="9">
        <v>45991</v>
      </c>
      <c r="L973" s="10">
        <f>Table1[[#This Row],[Profit]]/Table1[[#This Row],[Sales]]</f>
        <v>0.2</v>
      </c>
    </row>
    <row r="974" spans="1:12">
      <c r="A974" t="s">
        <v>23</v>
      </c>
      <c r="B974" t="s">
        <v>39</v>
      </c>
      <c r="C974" t="s">
        <v>31</v>
      </c>
      <c r="D974" t="s">
        <v>14</v>
      </c>
      <c r="E974" s="7">
        <v>2609</v>
      </c>
      <c r="F974" s="8">
        <v>19000</v>
      </c>
      <c r="G974" s="8">
        <f t="shared" si="60"/>
        <v>23750</v>
      </c>
      <c r="H974" s="8">
        <f t="shared" si="61"/>
        <v>61963750</v>
      </c>
      <c r="I974" s="8">
        <f t="shared" si="62"/>
        <v>49571000</v>
      </c>
      <c r="J974" s="8">
        <f t="shared" si="63"/>
        <v>12392750</v>
      </c>
      <c r="K974" s="9">
        <v>45998</v>
      </c>
      <c r="L974" s="10">
        <f>Table1[[#This Row],[Profit]]/Table1[[#This Row],[Sales]]</f>
        <v>0.2</v>
      </c>
    </row>
    <row r="975" spans="1:12">
      <c r="A975" t="s">
        <v>23</v>
      </c>
      <c r="B975" t="s">
        <v>77</v>
      </c>
      <c r="C975" t="s">
        <v>37</v>
      </c>
      <c r="D975" t="s">
        <v>14</v>
      </c>
      <c r="E975" s="7">
        <v>2983</v>
      </c>
      <c r="F975" s="8">
        <v>22700</v>
      </c>
      <c r="G975" s="8">
        <f t="shared" si="60"/>
        <v>28375</v>
      </c>
      <c r="H975" s="8">
        <f t="shared" si="61"/>
        <v>84642625</v>
      </c>
      <c r="I975" s="8">
        <f t="shared" si="62"/>
        <v>67714100</v>
      </c>
      <c r="J975" s="8">
        <f t="shared" si="63"/>
        <v>16928525</v>
      </c>
      <c r="K975" s="9">
        <v>46001</v>
      </c>
      <c r="L975" s="10">
        <f>Table1[[#This Row],[Profit]]/Table1[[#This Row],[Sales]]</f>
        <v>0.2</v>
      </c>
    </row>
    <row r="976" spans="1:12">
      <c r="A976" t="s">
        <v>23</v>
      </c>
      <c r="B976" t="s">
        <v>62</v>
      </c>
      <c r="C976" t="s">
        <v>17</v>
      </c>
      <c r="D976" t="s">
        <v>14</v>
      </c>
      <c r="E976" s="7">
        <v>1218</v>
      </c>
      <c r="F976" s="8">
        <v>9800</v>
      </c>
      <c r="G976" s="8">
        <f t="shared" si="60"/>
        <v>12250</v>
      </c>
      <c r="H976" s="8">
        <f t="shared" si="61"/>
        <v>14920500</v>
      </c>
      <c r="I976" s="8">
        <f t="shared" si="62"/>
        <v>11936400</v>
      </c>
      <c r="J976" s="8">
        <f t="shared" si="63"/>
        <v>2984100</v>
      </c>
      <c r="K976" s="9">
        <v>46002</v>
      </c>
      <c r="L976" s="10">
        <f>Table1[[#This Row],[Profit]]/Table1[[#This Row],[Sales]]</f>
        <v>0.2</v>
      </c>
    </row>
    <row r="977" spans="1:12">
      <c r="A977" t="s">
        <v>23</v>
      </c>
      <c r="B977" t="s">
        <v>51</v>
      </c>
      <c r="C977" t="s">
        <v>17</v>
      </c>
      <c r="D977" t="s">
        <v>14</v>
      </c>
      <c r="E977" s="7">
        <v>2407</v>
      </c>
      <c r="F977" s="8">
        <v>12500</v>
      </c>
      <c r="G977" s="8">
        <f t="shared" si="60"/>
        <v>15625</v>
      </c>
      <c r="H977" s="8">
        <f t="shared" si="61"/>
        <v>37609375</v>
      </c>
      <c r="I977" s="8">
        <f t="shared" si="62"/>
        <v>30087500</v>
      </c>
      <c r="J977" s="8">
        <f t="shared" si="63"/>
        <v>7521875</v>
      </c>
      <c r="K977" s="9">
        <v>46003</v>
      </c>
      <c r="L977" s="10">
        <f>Table1[[#This Row],[Profit]]/Table1[[#This Row],[Sales]]</f>
        <v>0.2</v>
      </c>
    </row>
    <row r="978" spans="1:12">
      <c r="A978" t="s">
        <v>23</v>
      </c>
      <c r="B978" t="s">
        <v>62</v>
      </c>
      <c r="C978" t="s">
        <v>13</v>
      </c>
      <c r="D978" t="s">
        <v>14</v>
      </c>
      <c r="E978" s="7">
        <v>269</v>
      </c>
      <c r="F978" s="8">
        <v>2900</v>
      </c>
      <c r="G978" s="8">
        <f t="shared" si="60"/>
        <v>3625</v>
      </c>
      <c r="H978" s="8">
        <f t="shared" si="61"/>
        <v>975125</v>
      </c>
      <c r="I978" s="8">
        <f t="shared" si="62"/>
        <v>780100</v>
      </c>
      <c r="J978" s="8">
        <f t="shared" si="63"/>
        <v>195025</v>
      </c>
      <c r="K978" s="9">
        <v>46003</v>
      </c>
      <c r="L978" s="10">
        <f>Table1[[#This Row],[Profit]]/Table1[[#This Row],[Sales]]</f>
        <v>0.2</v>
      </c>
    </row>
    <row r="979" spans="1:12">
      <c r="A979" t="s">
        <v>23</v>
      </c>
      <c r="B979" t="s">
        <v>98</v>
      </c>
      <c r="C979" t="s">
        <v>34</v>
      </c>
      <c r="D979" t="s">
        <v>14</v>
      </c>
      <c r="E979" s="7">
        <v>2542</v>
      </c>
      <c r="F979" s="8">
        <v>23100</v>
      </c>
      <c r="G979" s="8">
        <f t="shared" si="60"/>
        <v>28875</v>
      </c>
      <c r="H979" s="8">
        <f t="shared" si="61"/>
        <v>73400250</v>
      </c>
      <c r="I979" s="8">
        <f t="shared" si="62"/>
        <v>58720200</v>
      </c>
      <c r="J979" s="8">
        <f t="shared" si="63"/>
        <v>14680050</v>
      </c>
      <c r="K979" s="9">
        <v>46004</v>
      </c>
      <c r="L979" s="10">
        <f>Table1[[#This Row],[Profit]]/Table1[[#This Row],[Sales]]</f>
        <v>0.2</v>
      </c>
    </row>
    <row r="980" spans="1:12">
      <c r="A980" t="s">
        <v>23</v>
      </c>
      <c r="B980" t="s">
        <v>88</v>
      </c>
      <c r="C980" t="s">
        <v>13</v>
      </c>
      <c r="D980" t="s">
        <v>14</v>
      </c>
      <c r="E980" s="7">
        <v>697</v>
      </c>
      <c r="F980" s="8">
        <v>2700</v>
      </c>
      <c r="G980" s="8">
        <f t="shared" si="60"/>
        <v>3375</v>
      </c>
      <c r="H980" s="8">
        <f t="shared" si="61"/>
        <v>2352375</v>
      </c>
      <c r="I980" s="8">
        <f t="shared" si="62"/>
        <v>1881900</v>
      </c>
      <c r="J980" s="8">
        <f t="shared" si="63"/>
        <v>470475</v>
      </c>
      <c r="K980" s="9">
        <v>46004</v>
      </c>
      <c r="L980" s="10">
        <f>Table1[[#This Row],[Profit]]/Table1[[#This Row],[Sales]]</f>
        <v>0.2</v>
      </c>
    </row>
    <row r="981" spans="1:12">
      <c r="A981" t="s">
        <v>23</v>
      </c>
      <c r="B981" t="s">
        <v>98</v>
      </c>
      <c r="C981" t="s">
        <v>34</v>
      </c>
      <c r="D981" t="s">
        <v>14</v>
      </c>
      <c r="E981" s="7">
        <v>1882</v>
      </c>
      <c r="F981" s="8">
        <v>16600</v>
      </c>
      <c r="G981" s="8">
        <f t="shared" si="60"/>
        <v>20750</v>
      </c>
      <c r="H981" s="8">
        <f t="shared" si="61"/>
        <v>39051500</v>
      </c>
      <c r="I981" s="8">
        <f t="shared" si="62"/>
        <v>31241200</v>
      </c>
      <c r="J981" s="8">
        <f t="shared" si="63"/>
        <v>7810300</v>
      </c>
      <c r="K981" s="9">
        <v>46008</v>
      </c>
      <c r="L981" s="10">
        <f>Table1[[#This Row],[Profit]]/Table1[[#This Row],[Sales]]</f>
        <v>0.2</v>
      </c>
    </row>
    <row r="982" spans="1:12">
      <c r="A982" t="s">
        <v>23</v>
      </c>
      <c r="B982" t="s">
        <v>36</v>
      </c>
      <c r="C982" t="s">
        <v>79</v>
      </c>
      <c r="D982" t="s">
        <v>14</v>
      </c>
      <c r="E982" s="7">
        <v>2756</v>
      </c>
      <c r="F982" s="8">
        <v>6400</v>
      </c>
      <c r="G982" s="8">
        <f t="shared" si="60"/>
        <v>8000</v>
      </c>
      <c r="H982" s="8">
        <f t="shared" si="61"/>
        <v>22048000</v>
      </c>
      <c r="I982" s="8">
        <f t="shared" si="62"/>
        <v>17638400</v>
      </c>
      <c r="J982" s="8">
        <f t="shared" si="63"/>
        <v>4409600</v>
      </c>
      <c r="K982" s="9">
        <v>46009</v>
      </c>
      <c r="L982" s="10">
        <f>Table1[[#This Row],[Profit]]/Table1[[#This Row],[Sales]]</f>
        <v>0.2</v>
      </c>
    </row>
    <row r="983" spans="1:12">
      <c r="A983" t="s">
        <v>23</v>
      </c>
      <c r="B983" t="s">
        <v>39</v>
      </c>
      <c r="C983" t="s">
        <v>21</v>
      </c>
      <c r="D983" t="s">
        <v>14</v>
      </c>
      <c r="E983" s="7">
        <v>2307</v>
      </c>
      <c r="F983" s="8">
        <v>17500</v>
      </c>
      <c r="G983" s="8">
        <f t="shared" si="60"/>
        <v>21875</v>
      </c>
      <c r="H983" s="8">
        <f t="shared" si="61"/>
        <v>50465625</v>
      </c>
      <c r="I983" s="8">
        <f t="shared" si="62"/>
        <v>40372500</v>
      </c>
      <c r="J983" s="8">
        <f t="shared" si="63"/>
        <v>10093125</v>
      </c>
      <c r="K983" s="9">
        <v>46010</v>
      </c>
      <c r="L983" s="10">
        <f>Table1[[#This Row],[Profit]]/Table1[[#This Row],[Sales]]</f>
        <v>0.2</v>
      </c>
    </row>
    <row r="984" spans="1:12">
      <c r="A984" t="s">
        <v>23</v>
      </c>
      <c r="B984" t="s">
        <v>98</v>
      </c>
      <c r="C984" t="s">
        <v>68</v>
      </c>
      <c r="D984" t="s">
        <v>14</v>
      </c>
      <c r="E984" s="7">
        <v>2430</v>
      </c>
      <c r="F984" s="8">
        <v>17200</v>
      </c>
      <c r="G984" s="8">
        <f t="shared" si="60"/>
        <v>21500</v>
      </c>
      <c r="H984" s="8">
        <f t="shared" si="61"/>
        <v>52245000</v>
      </c>
      <c r="I984" s="8">
        <f t="shared" si="62"/>
        <v>41796000</v>
      </c>
      <c r="J984" s="8">
        <f t="shared" si="63"/>
        <v>10449000</v>
      </c>
      <c r="K984" s="9">
        <v>46011</v>
      </c>
      <c r="L984" s="10">
        <f>Table1[[#This Row],[Profit]]/Table1[[#This Row],[Sales]]</f>
        <v>0.2</v>
      </c>
    </row>
    <row r="985" spans="1:12">
      <c r="A985" t="s">
        <v>23</v>
      </c>
      <c r="B985" t="s">
        <v>51</v>
      </c>
      <c r="C985" t="s">
        <v>31</v>
      </c>
      <c r="D985" t="s">
        <v>14</v>
      </c>
      <c r="E985" s="7">
        <v>592</v>
      </c>
      <c r="F985" s="8">
        <v>18900</v>
      </c>
      <c r="G985" s="8">
        <f t="shared" si="60"/>
        <v>23625</v>
      </c>
      <c r="H985" s="8">
        <f t="shared" si="61"/>
        <v>13986000</v>
      </c>
      <c r="I985" s="8">
        <f t="shared" si="62"/>
        <v>11188800</v>
      </c>
      <c r="J985" s="8">
        <f t="shared" si="63"/>
        <v>2797200</v>
      </c>
      <c r="K985" s="9">
        <v>46011</v>
      </c>
      <c r="L985" s="10">
        <f>Table1[[#This Row],[Profit]]/Table1[[#This Row],[Sales]]</f>
        <v>0.2</v>
      </c>
    </row>
    <row r="986" spans="1:12">
      <c r="A986" t="s">
        <v>23</v>
      </c>
      <c r="B986" t="s">
        <v>62</v>
      </c>
      <c r="C986" t="s">
        <v>21</v>
      </c>
      <c r="D986" t="s">
        <v>14</v>
      </c>
      <c r="E986" s="7">
        <v>309</v>
      </c>
      <c r="F986" s="8">
        <v>3900</v>
      </c>
      <c r="G986" s="8">
        <f t="shared" si="60"/>
        <v>4875</v>
      </c>
      <c r="H986" s="8">
        <f t="shared" si="61"/>
        <v>1506375</v>
      </c>
      <c r="I986" s="8">
        <f t="shared" si="62"/>
        <v>1205100</v>
      </c>
      <c r="J986" s="8">
        <f t="shared" si="63"/>
        <v>301275</v>
      </c>
      <c r="K986" s="9">
        <v>46012</v>
      </c>
      <c r="L986" s="10">
        <f>Table1[[#This Row],[Profit]]/Table1[[#This Row],[Sales]]</f>
        <v>0.2</v>
      </c>
    </row>
    <row r="987" spans="1:12">
      <c r="A987" t="s">
        <v>23</v>
      </c>
      <c r="B987" t="s">
        <v>36</v>
      </c>
      <c r="C987" t="s">
        <v>68</v>
      </c>
      <c r="D987" t="s">
        <v>14</v>
      </c>
      <c r="E987" s="7">
        <v>2352</v>
      </c>
      <c r="F987" s="8">
        <v>9000</v>
      </c>
      <c r="G987" s="8">
        <f t="shared" si="60"/>
        <v>11250</v>
      </c>
      <c r="H987" s="8">
        <f t="shared" si="61"/>
        <v>26460000</v>
      </c>
      <c r="I987" s="8">
        <f t="shared" si="62"/>
        <v>21168000</v>
      </c>
      <c r="J987" s="8">
        <f t="shared" si="63"/>
        <v>5292000</v>
      </c>
      <c r="K987" s="9">
        <v>46013</v>
      </c>
      <c r="L987" s="10">
        <f>Table1[[#This Row],[Profit]]/Table1[[#This Row],[Sales]]</f>
        <v>0.2</v>
      </c>
    </row>
    <row r="988" spans="1:12">
      <c r="A988" t="s">
        <v>23</v>
      </c>
      <c r="B988" t="s">
        <v>97</v>
      </c>
      <c r="C988" t="s">
        <v>21</v>
      </c>
      <c r="D988" t="s">
        <v>14</v>
      </c>
      <c r="E988" s="7">
        <v>2300</v>
      </c>
      <c r="F988" s="8">
        <v>20400</v>
      </c>
      <c r="G988" s="8">
        <f t="shared" si="60"/>
        <v>25500</v>
      </c>
      <c r="H988" s="8">
        <f t="shared" si="61"/>
        <v>58650000</v>
      </c>
      <c r="I988" s="8">
        <f t="shared" si="62"/>
        <v>46920000</v>
      </c>
      <c r="J988" s="8">
        <f t="shared" si="63"/>
        <v>11730000</v>
      </c>
      <c r="K988" s="9">
        <v>46013</v>
      </c>
      <c r="L988" s="10">
        <f>Table1[[#This Row],[Profit]]/Table1[[#This Row],[Sales]]</f>
        <v>0.2</v>
      </c>
    </row>
    <row r="989" spans="1:12">
      <c r="A989" t="s">
        <v>23</v>
      </c>
      <c r="B989" t="s">
        <v>51</v>
      </c>
      <c r="C989" t="s">
        <v>27</v>
      </c>
      <c r="D989" t="s">
        <v>14</v>
      </c>
      <c r="E989" s="7">
        <v>2792</v>
      </c>
      <c r="F989" s="8">
        <v>20100</v>
      </c>
      <c r="G989" s="8">
        <f t="shared" si="60"/>
        <v>25125</v>
      </c>
      <c r="H989" s="8">
        <f t="shared" si="61"/>
        <v>70149000</v>
      </c>
      <c r="I989" s="8">
        <f t="shared" si="62"/>
        <v>56119200</v>
      </c>
      <c r="J989" s="8">
        <f t="shared" si="63"/>
        <v>14029800</v>
      </c>
      <c r="K989" s="9">
        <v>46014</v>
      </c>
      <c r="L989" s="10">
        <f>Table1[[#This Row],[Profit]]/Table1[[#This Row],[Sales]]</f>
        <v>0.2</v>
      </c>
    </row>
    <row r="990" spans="1:12">
      <c r="A990" t="s">
        <v>23</v>
      </c>
      <c r="B990" t="s">
        <v>62</v>
      </c>
      <c r="C990" t="s">
        <v>68</v>
      </c>
      <c r="D990" t="s">
        <v>14</v>
      </c>
      <c r="E990" s="7">
        <v>1367</v>
      </c>
      <c r="F990" s="8">
        <v>13000</v>
      </c>
      <c r="G990" s="8">
        <f t="shared" si="60"/>
        <v>16250</v>
      </c>
      <c r="H990" s="8">
        <f t="shared" si="61"/>
        <v>22213750</v>
      </c>
      <c r="I990" s="8">
        <f t="shared" si="62"/>
        <v>17771000</v>
      </c>
      <c r="J990" s="8">
        <f t="shared" si="63"/>
        <v>4442750</v>
      </c>
      <c r="K990" s="9">
        <v>46014</v>
      </c>
      <c r="L990" s="10">
        <f>Table1[[#This Row],[Profit]]/Table1[[#This Row],[Sales]]</f>
        <v>0.2</v>
      </c>
    </row>
    <row r="991" spans="1:12">
      <c r="A991" t="s">
        <v>23</v>
      </c>
      <c r="B991" t="s">
        <v>39</v>
      </c>
      <c r="C991" t="s">
        <v>27</v>
      </c>
      <c r="D991" t="s">
        <v>14</v>
      </c>
      <c r="E991" s="7">
        <v>723</v>
      </c>
      <c r="F991" s="8">
        <v>16800</v>
      </c>
      <c r="G991" s="8">
        <f t="shared" si="60"/>
        <v>21000</v>
      </c>
      <c r="H991" s="8">
        <f t="shared" si="61"/>
        <v>15183000</v>
      </c>
      <c r="I991" s="8">
        <f t="shared" si="62"/>
        <v>12146400</v>
      </c>
      <c r="J991" s="8">
        <f t="shared" si="63"/>
        <v>3036600</v>
      </c>
      <c r="K991" s="9">
        <v>46014</v>
      </c>
      <c r="L991" s="10">
        <f>Table1[[#This Row],[Profit]]/Table1[[#This Row],[Sales]]</f>
        <v>0.2</v>
      </c>
    </row>
    <row r="992" spans="1:12">
      <c r="A992" t="s">
        <v>23</v>
      </c>
      <c r="B992" t="s">
        <v>97</v>
      </c>
      <c r="C992" t="s">
        <v>31</v>
      </c>
      <c r="D992" t="s">
        <v>14</v>
      </c>
      <c r="E992" s="7">
        <v>2704</v>
      </c>
      <c r="F992" s="8">
        <v>10900</v>
      </c>
      <c r="G992" s="8">
        <f t="shared" si="60"/>
        <v>13625</v>
      </c>
      <c r="H992" s="8">
        <f t="shared" si="61"/>
        <v>36842000</v>
      </c>
      <c r="I992" s="8">
        <f t="shared" si="62"/>
        <v>29473600</v>
      </c>
      <c r="J992" s="8">
        <f t="shared" si="63"/>
        <v>7368400</v>
      </c>
      <c r="K992" s="9">
        <v>46015</v>
      </c>
      <c r="L992" s="10">
        <f>Table1[[#This Row],[Profit]]/Table1[[#This Row],[Sales]]</f>
        <v>0.2</v>
      </c>
    </row>
    <row r="993" spans="1:12">
      <c r="A993" t="s">
        <v>23</v>
      </c>
      <c r="B993" t="s">
        <v>51</v>
      </c>
      <c r="C993" t="s">
        <v>17</v>
      </c>
      <c r="D993" t="s">
        <v>14</v>
      </c>
      <c r="E993" s="7">
        <v>1700</v>
      </c>
      <c r="F993" s="8">
        <v>18900</v>
      </c>
      <c r="G993" s="8">
        <f t="shared" si="60"/>
        <v>23625</v>
      </c>
      <c r="H993" s="8">
        <f t="shared" si="61"/>
        <v>40162500</v>
      </c>
      <c r="I993" s="8">
        <f t="shared" si="62"/>
        <v>32130000</v>
      </c>
      <c r="J993" s="8">
        <f t="shared" si="63"/>
        <v>8032500</v>
      </c>
      <c r="K993" s="9">
        <v>46015</v>
      </c>
      <c r="L993" s="10">
        <f>Table1[[#This Row],[Profit]]/Table1[[#This Row],[Sales]]</f>
        <v>0.2</v>
      </c>
    </row>
    <row r="994" spans="1:12">
      <c r="A994" t="s">
        <v>23</v>
      </c>
      <c r="B994" t="s">
        <v>36</v>
      </c>
      <c r="C994" t="s">
        <v>27</v>
      </c>
      <c r="D994" t="s">
        <v>14</v>
      </c>
      <c r="E994" s="7">
        <v>816</v>
      </c>
      <c r="F994" s="8">
        <v>21100</v>
      </c>
      <c r="G994" s="8">
        <f t="shared" si="60"/>
        <v>26375</v>
      </c>
      <c r="H994" s="8">
        <f t="shared" si="61"/>
        <v>21522000</v>
      </c>
      <c r="I994" s="8">
        <f t="shared" si="62"/>
        <v>17217600</v>
      </c>
      <c r="J994" s="8">
        <f t="shared" si="63"/>
        <v>4304400</v>
      </c>
      <c r="K994" s="9">
        <v>46017</v>
      </c>
      <c r="L994" s="10">
        <f>Table1[[#This Row],[Profit]]/Table1[[#This Row],[Sales]]</f>
        <v>0.2</v>
      </c>
    </row>
    <row r="995" spans="1:12">
      <c r="A995" t="s">
        <v>23</v>
      </c>
      <c r="B995" t="s">
        <v>20</v>
      </c>
      <c r="C995" t="s">
        <v>21</v>
      </c>
      <c r="D995" t="s">
        <v>14</v>
      </c>
      <c r="E995" s="7">
        <v>1716</v>
      </c>
      <c r="F995" s="8">
        <v>14000</v>
      </c>
      <c r="G995" s="8">
        <f t="shared" si="60"/>
        <v>17500</v>
      </c>
      <c r="H995" s="8">
        <f t="shared" si="61"/>
        <v>30030000</v>
      </c>
      <c r="I995" s="8">
        <f t="shared" si="62"/>
        <v>24024000</v>
      </c>
      <c r="J995" s="8">
        <f t="shared" si="63"/>
        <v>6006000</v>
      </c>
      <c r="K995" s="9">
        <v>46018</v>
      </c>
      <c r="L995" s="10">
        <f>Table1[[#This Row],[Profit]]/Table1[[#This Row],[Sales]]</f>
        <v>0.2</v>
      </c>
    </row>
    <row r="996" spans="1:12">
      <c r="A996" t="s">
        <v>23</v>
      </c>
      <c r="B996" t="s">
        <v>39</v>
      </c>
      <c r="C996" t="s">
        <v>27</v>
      </c>
      <c r="D996" t="s">
        <v>14</v>
      </c>
      <c r="E996" s="7">
        <v>2735</v>
      </c>
      <c r="F996" s="8">
        <v>13500</v>
      </c>
      <c r="G996" s="8">
        <f t="shared" si="60"/>
        <v>16875</v>
      </c>
      <c r="H996" s="8">
        <f t="shared" si="61"/>
        <v>46153125</v>
      </c>
      <c r="I996" s="8">
        <f t="shared" si="62"/>
        <v>36922500</v>
      </c>
      <c r="J996" s="8">
        <f t="shared" si="63"/>
        <v>9230625</v>
      </c>
      <c r="K996" s="9">
        <v>46019</v>
      </c>
      <c r="L996" s="10">
        <f>Table1[[#This Row],[Profit]]/Table1[[#This Row],[Sales]]</f>
        <v>0.2</v>
      </c>
    </row>
    <row r="997" spans="1:12">
      <c r="A997" t="s">
        <v>23</v>
      </c>
      <c r="B997" t="s">
        <v>77</v>
      </c>
      <c r="C997" t="s">
        <v>37</v>
      </c>
      <c r="D997" t="s">
        <v>14</v>
      </c>
      <c r="E997" s="7">
        <v>2952</v>
      </c>
      <c r="F997" s="8">
        <v>24600</v>
      </c>
      <c r="G997" s="8">
        <f t="shared" si="60"/>
        <v>30750</v>
      </c>
      <c r="H997" s="8">
        <f t="shared" si="61"/>
        <v>90774000</v>
      </c>
      <c r="I997" s="8">
        <f t="shared" si="62"/>
        <v>72619200</v>
      </c>
      <c r="J997" s="8">
        <f t="shared" si="63"/>
        <v>18154800</v>
      </c>
      <c r="K997" s="9">
        <v>46019</v>
      </c>
      <c r="L997" s="10">
        <f>Table1[[#This Row],[Profit]]/Table1[[#This Row],[Sales]]</f>
        <v>0.2</v>
      </c>
    </row>
    <row r="998" spans="1:12">
      <c r="A998" t="s">
        <v>23</v>
      </c>
      <c r="B998" t="s">
        <v>97</v>
      </c>
      <c r="C998" t="s">
        <v>27</v>
      </c>
      <c r="D998" t="s">
        <v>14</v>
      </c>
      <c r="E998" s="7">
        <v>944</v>
      </c>
      <c r="F998" s="8">
        <v>15300</v>
      </c>
      <c r="G998" s="8">
        <f t="shared" si="60"/>
        <v>19125</v>
      </c>
      <c r="H998" s="8">
        <f t="shared" si="61"/>
        <v>18054000</v>
      </c>
      <c r="I998" s="8">
        <f t="shared" si="62"/>
        <v>14443200</v>
      </c>
      <c r="J998" s="8">
        <f t="shared" si="63"/>
        <v>3610800</v>
      </c>
      <c r="K998" s="9">
        <v>46019</v>
      </c>
      <c r="L998" s="10">
        <f>Table1[[#This Row],[Profit]]/Table1[[#This Row],[Sales]]</f>
        <v>0.2</v>
      </c>
    </row>
    <row r="999" spans="1:12">
      <c r="A999" t="s">
        <v>23</v>
      </c>
      <c r="B999" t="s">
        <v>26</v>
      </c>
      <c r="C999" t="s">
        <v>79</v>
      </c>
      <c r="D999" t="s">
        <v>14</v>
      </c>
      <c r="E999" s="7">
        <v>1621</v>
      </c>
      <c r="F999" s="8">
        <v>21700</v>
      </c>
      <c r="G999" s="8">
        <f t="shared" si="60"/>
        <v>27125</v>
      </c>
      <c r="H999" s="8">
        <f t="shared" si="61"/>
        <v>43969625</v>
      </c>
      <c r="I999" s="8">
        <f t="shared" si="62"/>
        <v>35175700</v>
      </c>
      <c r="J999" s="8">
        <f t="shared" si="63"/>
        <v>8793925</v>
      </c>
      <c r="K999" s="9">
        <v>46019</v>
      </c>
      <c r="L999" s="10">
        <f>Table1[[#This Row],[Profit]]/Table1[[#This Row],[Sales]]</f>
        <v>0.2</v>
      </c>
    </row>
    <row r="1000" spans="1:12">
      <c r="A1000" t="s">
        <v>23</v>
      </c>
      <c r="B1000" t="s">
        <v>97</v>
      </c>
      <c r="C1000" t="s">
        <v>34</v>
      </c>
      <c r="D1000" t="s">
        <v>14</v>
      </c>
      <c r="E1000" s="7">
        <v>747</v>
      </c>
      <c r="F1000" s="8">
        <v>24900</v>
      </c>
      <c r="G1000" s="8">
        <f t="shared" si="60"/>
        <v>31125</v>
      </c>
      <c r="H1000" s="8">
        <f t="shared" si="61"/>
        <v>23250375</v>
      </c>
      <c r="I1000" s="8">
        <f t="shared" si="62"/>
        <v>18600300</v>
      </c>
      <c r="J1000" s="8">
        <f t="shared" si="63"/>
        <v>4650075</v>
      </c>
      <c r="K1000" s="9">
        <v>46020</v>
      </c>
      <c r="L1000" s="10">
        <f>Table1[[#This Row],[Profit]]/Table1[[#This Row],[Sales]]</f>
        <v>0.2</v>
      </c>
    </row>
    <row r="1001" spans="1:12">
      <c r="A1001" t="s">
        <v>23</v>
      </c>
      <c r="B1001" t="s">
        <v>88</v>
      </c>
      <c r="C1001" t="s">
        <v>31</v>
      </c>
      <c r="D1001" t="s">
        <v>14</v>
      </c>
      <c r="E1001" s="7">
        <v>2846</v>
      </c>
      <c r="F1001" s="8">
        <v>24200</v>
      </c>
      <c r="G1001" s="8">
        <f t="shared" si="60"/>
        <v>30250</v>
      </c>
      <c r="H1001" s="8">
        <f t="shared" si="61"/>
        <v>86091500</v>
      </c>
      <c r="I1001" s="8">
        <f t="shared" si="62"/>
        <v>68873200</v>
      </c>
      <c r="J1001" s="8">
        <f t="shared" si="63"/>
        <v>17218300</v>
      </c>
      <c r="K1001" s="9">
        <v>46022</v>
      </c>
      <c r="L1001" s="10">
        <f>Table1[[#This Row],[Profit]]/Table1[[#This Row],[Sales]]</f>
        <v>0.2</v>
      </c>
    </row>
  </sheetData>
  <sortState xmlns:xlrd2="http://schemas.microsoft.com/office/spreadsheetml/2017/richdata2" ref="A2:K1011">
    <sortCondition ref="A2:A1011"/>
  </sortState>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FD159-DF34-4CA4-9A38-0E8DEEC398E0}">
  <dimension ref="A3:I44"/>
  <sheetViews>
    <sheetView topLeftCell="A13" workbookViewId="0">
      <selection activeCell="D45" sqref="D45:D46"/>
    </sheetView>
  </sheetViews>
  <sheetFormatPr defaultRowHeight="14.25"/>
  <cols>
    <col min="1" max="1" width="14.19921875" bestFit="1" customWidth="1"/>
    <col min="2" max="3" width="16" bestFit="1" customWidth="1"/>
    <col min="4" max="4" width="15" bestFit="1" customWidth="1"/>
    <col min="5" max="5" width="15.265625" bestFit="1" customWidth="1"/>
    <col min="6" max="6" width="15.73046875" bestFit="1" customWidth="1"/>
    <col min="7" max="7" width="14.6640625" bestFit="1" customWidth="1"/>
    <col min="8" max="8" width="15.73046875" bestFit="1" customWidth="1"/>
    <col min="9" max="30" width="14.73046875" bestFit="1" customWidth="1"/>
    <col min="31" max="31" width="15.73046875" bestFit="1" customWidth="1"/>
    <col min="32" max="33" width="16" bestFit="1" customWidth="1"/>
  </cols>
  <sheetData>
    <row r="3" spans="1:9">
      <c r="A3" s="11" t="s">
        <v>104</v>
      </c>
      <c r="B3" t="s">
        <v>101</v>
      </c>
      <c r="C3" t="s">
        <v>102</v>
      </c>
      <c r="D3" t="s">
        <v>103</v>
      </c>
      <c r="F3" t="s">
        <v>101</v>
      </c>
      <c r="G3" t="s">
        <v>107</v>
      </c>
      <c r="H3" t="s">
        <v>102</v>
      </c>
      <c r="I3" t="s">
        <v>103</v>
      </c>
    </row>
    <row r="4" spans="1:9">
      <c r="A4" s="12" t="s">
        <v>31</v>
      </c>
      <c r="B4" s="8">
        <v>2735113250</v>
      </c>
      <c r="C4" s="8">
        <v>2188090600</v>
      </c>
      <c r="D4" s="8">
        <v>547022650</v>
      </c>
      <c r="F4" s="8">
        <v>25728657750</v>
      </c>
      <c r="G4" s="8">
        <v>1533803</v>
      </c>
      <c r="H4" s="8">
        <v>20583516064</v>
      </c>
      <c r="I4" s="8">
        <v>5145141686</v>
      </c>
    </row>
    <row r="5" spans="1:9">
      <c r="A5" s="12" t="s">
        <v>21</v>
      </c>
      <c r="B5" s="8">
        <v>2725628750</v>
      </c>
      <c r="C5" s="8">
        <v>2180669688</v>
      </c>
      <c r="D5" s="8">
        <v>544959062</v>
      </c>
    </row>
    <row r="6" spans="1:9">
      <c r="A6" s="12" t="s">
        <v>79</v>
      </c>
      <c r="B6" s="8">
        <v>2713268625</v>
      </c>
      <c r="C6" s="8">
        <v>2170614900</v>
      </c>
      <c r="D6" s="8">
        <v>542653725</v>
      </c>
    </row>
    <row r="7" spans="1:9">
      <c r="A7" s="12" t="s">
        <v>68</v>
      </c>
      <c r="B7" s="8">
        <v>2647190125</v>
      </c>
      <c r="C7" s="8">
        <v>2117801625</v>
      </c>
      <c r="D7" s="8">
        <v>529388500</v>
      </c>
    </row>
    <row r="8" spans="1:9">
      <c r="A8" s="12" t="s">
        <v>27</v>
      </c>
      <c r="B8" s="8">
        <v>2638224750</v>
      </c>
      <c r="C8" s="8">
        <v>2110648600</v>
      </c>
      <c r="D8" s="8">
        <v>527576150</v>
      </c>
    </row>
    <row r="9" spans="1:9">
      <c r="A9" s="12" t="s">
        <v>17</v>
      </c>
      <c r="B9" s="8">
        <v>2601952375</v>
      </c>
      <c r="C9" s="8">
        <v>2081567255</v>
      </c>
      <c r="D9" s="8">
        <v>520385120</v>
      </c>
    </row>
    <row r="10" spans="1:9">
      <c r="A10" s="12" t="s">
        <v>63</v>
      </c>
      <c r="B10" s="8">
        <v>2546319625</v>
      </c>
      <c r="C10" s="8">
        <v>2037219116</v>
      </c>
      <c r="D10" s="8">
        <v>509100509</v>
      </c>
    </row>
    <row r="11" spans="1:9">
      <c r="A11" s="12" t="s">
        <v>34</v>
      </c>
      <c r="B11" s="8">
        <v>2541067250</v>
      </c>
      <c r="C11" s="8">
        <v>2032989880</v>
      </c>
      <c r="D11" s="8">
        <v>508077370</v>
      </c>
    </row>
    <row r="12" spans="1:9">
      <c r="A12" s="12" t="s">
        <v>13</v>
      </c>
      <c r="B12" s="8">
        <v>2499194875</v>
      </c>
      <c r="C12" s="8">
        <v>1999355900</v>
      </c>
      <c r="D12" s="8">
        <v>499838975</v>
      </c>
    </row>
    <row r="13" spans="1:9">
      <c r="A13" s="12" t="s">
        <v>37</v>
      </c>
      <c r="B13" s="8">
        <v>2080698125</v>
      </c>
      <c r="C13" s="8">
        <v>1664558500</v>
      </c>
      <c r="D13" s="8">
        <v>416139625</v>
      </c>
    </row>
    <row r="14" spans="1:9">
      <c r="A14" s="12" t="s">
        <v>100</v>
      </c>
      <c r="B14" s="8">
        <v>25728657750</v>
      </c>
      <c r="C14" s="8">
        <v>20583516064</v>
      </c>
      <c r="D14" s="8">
        <v>5145141686</v>
      </c>
    </row>
    <row r="18" spans="1:9">
      <c r="A18" s="11" t="s">
        <v>104</v>
      </c>
      <c r="B18" t="s">
        <v>107</v>
      </c>
      <c r="E18" t="str">
        <f>A18</f>
        <v>Product Name</v>
      </c>
      <c r="F18" t="str">
        <f>B18</f>
        <v>Sum of Units Sold</v>
      </c>
    </row>
    <row r="19" spans="1:9">
      <c r="A19" s="12" t="s">
        <v>62</v>
      </c>
      <c r="B19" s="32">
        <v>154902</v>
      </c>
      <c r="E19" t="str">
        <f>IF(A19&lt;&gt;"", A19, "")</f>
        <v>Brunei</v>
      </c>
      <c r="F19" s="7">
        <f>IF(B19&lt;&gt;"", B19, "")</f>
        <v>154902</v>
      </c>
    </row>
    <row r="20" spans="1:9">
      <c r="A20" s="12" t="s">
        <v>36</v>
      </c>
      <c r="B20" s="32">
        <v>142112</v>
      </c>
      <c r="E20" t="str">
        <f t="shared" ref="E20:E28" si="0">IF(A20&lt;&gt;"", A20, "")</f>
        <v>Cambodia</v>
      </c>
      <c r="F20">
        <f t="shared" ref="F20:F28" si="1">IF(B20&lt;&gt;"", B20, "")</f>
        <v>142112</v>
      </c>
    </row>
    <row r="21" spans="1:9">
      <c r="A21" s="12" t="s">
        <v>77</v>
      </c>
      <c r="B21" s="32">
        <v>167182</v>
      </c>
      <c r="E21" t="str">
        <f t="shared" si="0"/>
        <v>Indonesia</v>
      </c>
      <c r="F21">
        <f t="shared" si="1"/>
        <v>167182</v>
      </c>
    </row>
    <row r="22" spans="1:9">
      <c r="A22" s="12" t="s">
        <v>51</v>
      </c>
      <c r="B22" s="32">
        <v>152508</v>
      </c>
      <c r="E22" t="str">
        <f t="shared" si="0"/>
        <v>Laos</v>
      </c>
      <c r="F22">
        <f t="shared" si="1"/>
        <v>152508</v>
      </c>
    </row>
    <row r="23" spans="1:9">
      <c r="A23" s="12" t="s">
        <v>98</v>
      </c>
      <c r="B23" s="32">
        <v>166540</v>
      </c>
      <c r="E23" t="str">
        <f t="shared" si="0"/>
        <v>Malaysia</v>
      </c>
      <c r="F23">
        <f t="shared" si="1"/>
        <v>166540</v>
      </c>
    </row>
    <row r="24" spans="1:9">
      <c r="A24" s="12" t="s">
        <v>26</v>
      </c>
      <c r="B24" s="32">
        <v>145774</v>
      </c>
      <c r="E24" t="str">
        <f t="shared" si="0"/>
        <v>Myanmar</v>
      </c>
      <c r="F24">
        <f t="shared" si="1"/>
        <v>145774</v>
      </c>
    </row>
    <row r="25" spans="1:9">
      <c r="A25" s="12" t="s">
        <v>20</v>
      </c>
      <c r="B25" s="32">
        <v>135770</v>
      </c>
      <c r="E25" t="str">
        <f t="shared" si="0"/>
        <v>Philippines</v>
      </c>
      <c r="F25">
        <f t="shared" si="1"/>
        <v>135770</v>
      </c>
    </row>
    <row r="26" spans="1:9">
      <c r="A26" s="12" t="s">
        <v>88</v>
      </c>
      <c r="B26" s="32">
        <v>144777</v>
      </c>
      <c r="E26" t="str">
        <f t="shared" si="0"/>
        <v>Singapore</v>
      </c>
      <c r="F26">
        <f t="shared" si="1"/>
        <v>144777</v>
      </c>
    </row>
    <row r="27" spans="1:9">
      <c r="A27" s="12" t="s">
        <v>97</v>
      </c>
      <c r="B27" s="32">
        <v>155917</v>
      </c>
      <c r="E27" t="str">
        <f t="shared" si="0"/>
        <v>Thailand</v>
      </c>
      <c r="F27">
        <f t="shared" si="1"/>
        <v>155917</v>
      </c>
    </row>
    <row r="28" spans="1:9">
      <c r="A28" s="12" t="s">
        <v>39</v>
      </c>
      <c r="B28" s="32">
        <v>168321</v>
      </c>
      <c r="E28" t="str">
        <f t="shared" si="0"/>
        <v>Vietnam</v>
      </c>
      <c r="F28">
        <f t="shared" si="1"/>
        <v>168321</v>
      </c>
    </row>
    <row r="31" spans="1:9">
      <c r="A31" s="11" t="s">
        <v>104</v>
      </c>
      <c r="B31" t="s">
        <v>107</v>
      </c>
      <c r="E31" s="11" t="s">
        <v>107</v>
      </c>
      <c r="F31" s="11" t="s">
        <v>120</v>
      </c>
    </row>
    <row r="32" spans="1:9">
      <c r="A32" s="33" t="s">
        <v>108</v>
      </c>
      <c r="B32" s="34">
        <v>136124</v>
      </c>
      <c r="E32" s="11" t="s">
        <v>104</v>
      </c>
      <c r="F32" t="s">
        <v>19</v>
      </c>
      <c r="G32" t="s">
        <v>29</v>
      </c>
      <c r="H32" t="s">
        <v>11</v>
      </c>
      <c r="I32" t="s">
        <v>23</v>
      </c>
    </row>
    <row r="33" spans="1:9">
      <c r="A33" s="33" t="s">
        <v>109</v>
      </c>
      <c r="B33" s="34">
        <v>106894</v>
      </c>
      <c r="E33" s="33" t="s">
        <v>108</v>
      </c>
      <c r="F33" s="34">
        <v>30029</v>
      </c>
      <c r="G33" s="34">
        <v>47890</v>
      </c>
      <c r="H33" s="34">
        <v>15876</v>
      </c>
      <c r="I33" s="34">
        <v>42329</v>
      </c>
    </row>
    <row r="34" spans="1:9">
      <c r="A34" s="33" t="s">
        <v>110</v>
      </c>
      <c r="B34" s="34">
        <v>126579</v>
      </c>
      <c r="E34" s="33" t="s">
        <v>109</v>
      </c>
      <c r="F34" s="34">
        <v>20167</v>
      </c>
      <c r="G34" s="34">
        <v>31271</v>
      </c>
      <c r="H34" s="34">
        <v>30435</v>
      </c>
      <c r="I34" s="34">
        <v>25021</v>
      </c>
    </row>
    <row r="35" spans="1:9">
      <c r="A35" s="33" t="s">
        <v>111</v>
      </c>
      <c r="B35" s="34">
        <v>112823</v>
      </c>
      <c r="E35" s="33" t="s">
        <v>110</v>
      </c>
      <c r="F35" s="34">
        <v>36223</v>
      </c>
      <c r="G35" s="34">
        <v>36627</v>
      </c>
      <c r="H35" s="34">
        <v>28428</v>
      </c>
      <c r="I35" s="34">
        <v>25301</v>
      </c>
    </row>
    <row r="36" spans="1:9">
      <c r="A36" s="33" t="s">
        <v>112</v>
      </c>
      <c r="B36" s="34">
        <v>119911</v>
      </c>
      <c r="E36" s="33" t="s">
        <v>111</v>
      </c>
      <c r="F36" s="34">
        <v>22172</v>
      </c>
      <c r="G36" s="34">
        <v>24389</v>
      </c>
      <c r="H36" s="34">
        <v>23400</v>
      </c>
      <c r="I36" s="34">
        <v>42862</v>
      </c>
    </row>
    <row r="37" spans="1:9">
      <c r="A37" s="33" t="s">
        <v>113</v>
      </c>
      <c r="B37" s="34">
        <v>132154</v>
      </c>
      <c r="E37" s="33" t="s">
        <v>112</v>
      </c>
      <c r="F37" s="34">
        <v>36359</v>
      </c>
      <c r="G37" s="34">
        <v>28967</v>
      </c>
      <c r="H37" s="34">
        <v>28528</v>
      </c>
      <c r="I37" s="34">
        <v>26057</v>
      </c>
    </row>
    <row r="38" spans="1:9">
      <c r="A38" s="33" t="s">
        <v>114</v>
      </c>
      <c r="B38" s="34">
        <v>137842</v>
      </c>
      <c r="E38" s="33" t="s">
        <v>113</v>
      </c>
      <c r="F38" s="34">
        <v>18562</v>
      </c>
      <c r="G38" s="34">
        <v>35855</v>
      </c>
      <c r="H38" s="34">
        <v>36649</v>
      </c>
      <c r="I38" s="34">
        <v>41088</v>
      </c>
    </row>
    <row r="39" spans="1:9">
      <c r="A39" s="33" t="s">
        <v>115</v>
      </c>
      <c r="B39" s="34">
        <v>148049</v>
      </c>
      <c r="E39" s="33" t="s">
        <v>114</v>
      </c>
      <c r="F39" s="34">
        <v>44998</v>
      </c>
      <c r="G39" s="34">
        <v>12384</v>
      </c>
      <c r="H39" s="34">
        <v>36741</v>
      </c>
      <c r="I39" s="34">
        <v>43719</v>
      </c>
    </row>
    <row r="40" spans="1:9">
      <c r="A40" s="33" t="s">
        <v>116</v>
      </c>
      <c r="B40" s="34">
        <v>117963</v>
      </c>
      <c r="E40" s="33" t="s">
        <v>115</v>
      </c>
      <c r="F40" s="34">
        <v>40705</v>
      </c>
      <c r="G40" s="34">
        <v>46095</v>
      </c>
      <c r="H40" s="34">
        <v>32334</v>
      </c>
      <c r="I40" s="34">
        <v>28915</v>
      </c>
    </row>
    <row r="41" spans="1:9">
      <c r="A41" s="33" t="s">
        <v>117</v>
      </c>
      <c r="B41" s="34">
        <v>125315</v>
      </c>
      <c r="E41" s="33" t="s">
        <v>116</v>
      </c>
      <c r="F41" s="34">
        <v>19742</v>
      </c>
      <c r="G41" s="34">
        <v>30387</v>
      </c>
      <c r="H41" s="34">
        <v>31107</v>
      </c>
      <c r="I41" s="34">
        <v>36727</v>
      </c>
    </row>
    <row r="42" spans="1:9">
      <c r="A42" s="33" t="s">
        <v>118</v>
      </c>
      <c r="B42" s="34">
        <v>130882</v>
      </c>
      <c r="E42" s="33" t="s">
        <v>117</v>
      </c>
      <c r="F42" s="34">
        <v>26595</v>
      </c>
      <c r="G42" s="34">
        <v>39612</v>
      </c>
      <c r="H42" s="34">
        <v>23706</v>
      </c>
      <c r="I42" s="34">
        <v>35402</v>
      </c>
    </row>
    <row r="43" spans="1:9">
      <c r="A43" s="33" t="s">
        <v>119</v>
      </c>
      <c r="B43" s="34">
        <v>139267</v>
      </c>
      <c r="E43" s="33" t="s">
        <v>118</v>
      </c>
      <c r="F43" s="34">
        <v>40866</v>
      </c>
      <c r="G43" s="34">
        <v>30512</v>
      </c>
      <c r="H43" s="34">
        <v>35107</v>
      </c>
      <c r="I43" s="34">
        <v>24397</v>
      </c>
    </row>
    <row r="44" spans="1:9">
      <c r="E44" s="33" t="s">
        <v>119</v>
      </c>
      <c r="F44" s="34">
        <v>33164</v>
      </c>
      <c r="G44" s="34">
        <v>23522</v>
      </c>
      <c r="H44" s="34">
        <v>31265</v>
      </c>
      <c r="I44" s="34">
        <v>51316</v>
      </c>
    </row>
  </sheetData>
  <conditionalFormatting pivot="1" sqref="D4:D13">
    <cfRule type="dataBar" priority="3">
      <dataBar>
        <cfvo type="min"/>
        <cfvo type="max"/>
        <color rgb="FF638EC6"/>
      </dataBar>
      <extLst>
        <ext xmlns:x14="http://schemas.microsoft.com/office/spreadsheetml/2009/9/main" uri="{B025F937-C7B1-47D3-B67F-A62EFF666E3E}">
          <x14:id>{DD9B0DE6-2828-4852-9BB8-B5D421E1DB3F}</x14:id>
        </ext>
      </extLst>
    </cfRule>
  </conditionalFormatting>
  <pageMargins left="0.7" right="0.7" top="0.75" bottom="0.75" header="0.3" footer="0.3"/>
  <pageSetup orientation="portrait" r:id="rId6"/>
  <extLst>
    <ext xmlns:x14="http://schemas.microsoft.com/office/spreadsheetml/2009/9/main" uri="{78C0D931-6437-407d-A8EE-F0AAD7539E65}">
      <x14:conditionalFormattings>
        <x14:conditionalFormatting xmlns:xm="http://schemas.microsoft.com/office/excel/2006/main" pivot="1">
          <x14:cfRule type="dataBar" id="{DD9B0DE6-2828-4852-9BB8-B5D421E1DB3F}">
            <x14:dataBar minLength="0" maxLength="100" gradient="0">
              <x14:cfvo type="autoMin"/>
              <x14:cfvo type="autoMax"/>
              <x14:negativeFillColor rgb="FFFF0000"/>
              <x14:axisColor rgb="FF000000"/>
            </x14:dataBar>
          </x14:cfRule>
          <xm:sqref>D4:D13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D2C7D-CD5E-48E6-947C-5C985FC45CA7}">
  <dimension ref="A1:Q34"/>
  <sheetViews>
    <sheetView showGridLines="0" zoomScale="70" zoomScaleNormal="70" workbookViewId="0">
      <selection activeCell="E36" sqref="E36"/>
    </sheetView>
  </sheetViews>
  <sheetFormatPr defaultRowHeight="14.25"/>
  <cols>
    <col min="1" max="2" width="9.06640625" style="18"/>
    <col min="3" max="3" width="6.9296875" style="18" customWidth="1"/>
    <col min="4" max="4" width="2.796875" style="20" customWidth="1"/>
    <col min="5" max="5" width="15.6640625" bestFit="1" customWidth="1"/>
    <col min="6" max="7" width="16.796875" bestFit="1" customWidth="1"/>
    <col min="8" max="8" width="15.796875" bestFit="1" customWidth="1"/>
  </cols>
  <sheetData>
    <row r="1" spans="1:17" s="18" customFormat="1" ht="24.75" customHeight="1">
      <c r="A1" s="17" t="s">
        <v>105</v>
      </c>
      <c r="B1" s="14"/>
      <c r="C1" s="14"/>
      <c r="D1" s="14"/>
      <c r="E1" s="14"/>
      <c r="F1" s="14"/>
      <c r="G1" s="14"/>
      <c r="H1" s="14"/>
      <c r="I1" s="14"/>
      <c r="J1" s="14"/>
      <c r="K1" s="14"/>
      <c r="L1" s="14"/>
      <c r="M1" s="14"/>
      <c r="N1" s="14"/>
      <c r="O1" s="14"/>
      <c r="P1" s="14"/>
      <c r="Q1" s="14"/>
    </row>
    <row r="2" spans="1:17" s="18" customFormat="1" ht="16.899999999999999" customHeight="1">
      <c r="A2" s="19" t="s">
        <v>106</v>
      </c>
      <c r="B2" s="14"/>
      <c r="C2" s="14"/>
      <c r="D2" s="14"/>
      <c r="E2" s="14"/>
      <c r="F2" s="14"/>
      <c r="G2" s="14"/>
      <c r="H2" s="14"/>
      <c r="I2" s="14"/>
      <c r="J2" s="16"/>
      <c r="K2" s="16"/>
      <c r="L2" s="16"/>
      <c r="M2" s="16"/>
      <c r="N2" s="14"/>
      <c r="O2" s="14"/>
      <c r="P2" s="14"/>
      <c r="Q2" s="14"/>
    </row>
    <row r="3" spans="1:17" s="18" customFormat="1" ht="9" customHeight="1">
      <c r="A3" s="15"/>
      <c r="B3" s="15"/>
      <c r="C3" s="15"/>
      <c r="D3" s="15"/>
      <c r="E3" s="15"/>
      <c r="F3" s="15"/>
      <c r="G3" s="15"/>
      <c r="H3" s="15"/>
      <c r="I3" s="15"/>
      <c r="J3" s="15"/>
      <c r="K3" s="15"/>
      <c r="L3" s="15"/>
      <c r="M3" s="15"/>
      <c r="N3" s="15"/>
      <c r="O3" s="15"/>
      <c r="P3" s="15"/>
      <c r="Q3" s="15"/>
    </row>
    <row r="4" spans="1:17">
      <c r="A4" s="13"/>
      <c r="B4" s="13"/>
      <c r="C4" s="13"/>
    </row>
    <row r="5" spans="1:17">
      <c r="A5" s="13"/>
      <c r="B5" s="13"/>
      <c r="C5" s="13"/>
    </row>
    <row r="6" spans="1:17">
      <c r="A6" s="13"/>
      <c r="B6" s="13"/>
      <c r="C6" s="13"/>
    </row>
    <row r="7" spans="1:17">
      <c r="A7" s="13"/>
      <c r="B7" s="13"/>
      <c r="C7" s="13"/>
    </row>
    <row r="8" spans="1:17">
      <c r="A8" s="13"/>
      <c r="B8" s="13"/>
      <c r="C8" s="13"/>
    </row>
    <row r="9" spans="1:17">
      <c r="A9" s="13"/>
      <c r="B9" s="13"/>
      <c r="C9" s="13"/>
    </row>
    <row r="10" spans="1:17">
      <c r="A10" s="13"/>
      <c r="B10" s="13"/>
      <c r="C10" s="13"/>
      <c r="E10" s="11" t="s">
        <v>104</v>
      </c>
      <c r="F10" t="s">
        <v>101</v>
      </c>
      <c r="G10" t="s">
        <v>102</v>
      </c>
      <c r="H10" t="s">
        <v>103</v>
      </c>
    </row>
    <row r="11" spans="1:17">
      <c r="A11" s="13"/>
      <c r="B11" s="13"/>
      <c r="C11" s="13"/>
      <c r="E11" s="12" t="s">
        <v>31</v>
      </c>
      <c r="F11" s="8">
        <v>2735113250</v>
      </c>
      <c r="G11" s="8">
        <v>2188090600</v>
      </c>
      <c r="H11" s="8">
        <v>547022650</v>
      </c>
    </row>
    <row r="12" spans="1:17">
      <c r="A12" s="13"/>
      <c r="B12" s="13"/>
      <c r="C12" s="13"/>
      <c r="E12" s="12" t="s">
        <v>21</v>
      </c>
      <c r="F12" s="8">
        <v>2725628750</v>
      </c>
      <c r="G12" s="8">
        <v>2180669688</v>
      </c>
      <c r="H12" s="8">
        <v>544959062</v>
      </c>
    </row>
    <row r="13" spans="1:17">
      <c r="A13" s="13"/>
      <c r="B13" s="13"/>
      <c r="C13" s="13"/>
      <c r="E13" s="12" t="s">
        <v>79</v>
      </c>
      <c r="F13" s="8">
        <v>2713268625</v>
      </c>
      <c r="G13" s="8">
        <v>2170614900</v>
      </c>
      <c r="H13" s="8">
        <v>542653725</v>
      </c>
    </row>
    <row r="14" spans="1:17">
      <c r="A14" s="13"/>
      <c r="B14" s="13"/>
      <c r="C14" s="13"/>
      <c r="E14" s="12" t="s">
        <v>68</v>
      </c>
      <c r="F14" s="8">
        <v>2647190125</v>
      </c>
      <c r="G14" s="8">
        <v>2117801625</v>
      </c>
      <c r="H14" s="8">
        <v>529388500</v>
      </c>
    </row>
    <row r="15" spans="1:17">
      <c r="A15" s="13"/>
      <c r="B15" s="13"/>
      <c r="C15" s="13"/>
      <c r="E15" s="12" t="s">
        <v>27</v>
      </c>
      <c r="F15" s="8">
        <v>2638224750</v>
      </c>
      <c r="G15" s="8">
        <v>2110648600</v>
      </c>
      <c r="H15" s="8">
        <v>527576150</v>
      </c>
    </row>
    <row r="16" spans="1:17">
      <c r="A16" s="13"/>
      <c r="B16" s="13"/>
      <c r="C16" s="13"/>
      <c r="E16" s="12" t="s">
        <v>17</v>
      </c>
      <c r="F16" s="8">
        <v>2601952375</v>
      </c>
      <c r="G16" s="8">
        <v>2081567255</v>
      </c>
      <c r="H16" s="8">
        <v>520385120</v>
      </c>
    </row>
    <row r="17" spans="1:8">
      <c r="A17" s="13"/>
      <c r="B17" s="13"/>
      <c r="C17" s="13"/>
      <c r="E17" s="12" t="s">
        <v>63</v>
      </c>
      <c r="F17" s="8">
        <v>2546319625</v>
      </c>
      <c r="G17" s="8">
        <v>2037219116</v>
      </c>
      <c r="H17" s="8">
        <v>509100509</v>
      </c>
    </row>
    <row r="18" spans="1:8">
      <c r="A18" s="13"/>
      <c r="B18" s="13"/>
      <c r="C18" s="13"/>
      <c r="E18" s="12" t="s">
        <v>34</v>
      </c>
      <c r="F18" s="8">
        <v>2541067250</v>
      </c>
      <c r="G18" s="8">
        <v>2032989880</v>
      </c>
      <c r="H18" s="8">
        <v>508077370</v>
      </c>
    </row>
    <row r="19" spans="1:8">
      <c r="A19" s="13"/>
      <c r="B19" s="13"/>
      <c r="C19" s="13"/>
      <c r="E19" s="12" t="s">
        <v>13</v>
      </c>
      <c r="F19" s="8">
        <v>2499194875</v>
      </c>
      <c r="G19" s="8">
        <v>1999355900</v>
      </c>
      <c r="H19" s="8">
        <v>499838975</v>
      </c>
    </row>
    <row r="20" spans="1:8">
      <c r="A20" s="13"/>
      <c r="B20" s="13"/>
      <c r="C20" s="13"/>
      <c r="E20" s="12" t="s">
        <v>37</v>
      </c>
      <c r="F20" s="8">
        <v>2080698125</v>
      </c>
      <c r="G20" s="8">
        <v>1664558500</v>
      </c>
      <c r="H20" s="8">
        <v>416139625</v>
      </c>
    </row>
    <row r="21" spans="1:8">
      <c r="A21" s="13"/>
      <c r="B21" s="13"/>
      <c r="C21" s="13"/>
      <c r="E21" s="21" t="s">
        <v>100</v>
      </c>
      <c r="F21" s="22">
        <v>25728657750</v>
      </c>
      <c r="G21" s="22">
        <v>20583516064</v>
      </c>
      <c r="H21" s="22">
        <v>5145141686</v>
      </c>
    </row>
    <row r="22" spans="1:8">
      <c r="A22" s="13"/>
      <c r="B22" s="13"/>
      <c r="C22" s="13"/>
    </row>
    <row r="23" spans="1:8">
      <c r="A23" s="13"/>
      <c r="B23" s="13"/>
      <c r="C23" s="13"/>
    </row>
    <row r="24" spans="1:8">
      <c r="A24" s="13"/>
      <c r="B24" s="13"/>
      <c r="C24" s="13"/>
    </row>
    <row r="25" spans="1:8">
      <c r="A25" s="13"/>
      <c r="B25" s="13"/>
      <c r="C25" s="13"/>
    </row>
    <row r="26" spans="1:8">
      <c r="A26" s="13"/>
      <c r="B26" s="13"/>
      <c r="C26" s="13"/>
    </row>
    <row r="27" spans="1:8">
      <c r="A27" s="13"/>
      <c r="B27" s="13"/>
      <c r="C27" s="13"/>
    </row>
    <row r="28" spans="1:8">
      <c r="A28" s="13"/>
      <c r="B28" s="13"/>
      <c r="C28" s="13"/>
    </row>
    <row r="29" spans="1:8">
      <c r="A29" s="13"/>
      <c r="B29" s="13"/>
      <c r="C29" s="13"/>
    </row>
    <row r="30" spans="1:8">
      <c r="A30" s="13"/>
      <c r="B30" s="13"/>
      <c r="C30" s="13"/>
    </row>
    <row r="31" spans="1:8">
      <c r="A31" s="13"/>
      <c r="B31" s="13"/>
      <c r="C31" s="13"/>
    </row>
    <row r="32" spans="1:8">
      <c r="A32" s="13"/>
      <c r="B32" s="13"/>
      <c r="C32" s="13"/>
    </row>
    <row r="33" spans="1:4">
      <c r="A33" s="20"/>
      <c r="B33"/>
      <c r="C33"/>
      <c r="D33"/>
    </row>
    <row r="34" spans="1:4">
      <c r="A34" s="20"/>
      <c r="B34"/>
      <c r="C34"/>
      <c r="D34"/>
    </row>
  </sheetData>
  <conditionalFormatting pivot="1" sqref="H11:H20">
    <cfRule type="dataBar" priority="1">
      <dataBar>
        <cfvo type="min"/>
        <cfvo type="max"/>
        <color theme="3" tint="0.59999389629810485"/>
      </dataBar>
      <extLst>
        <ext xmlns:x14="http://schemas.microsoft.com/office/spreadsheetml/2009/9/main" uri="{B025F937-C7B1-47D3-B67F-A62EFF666E3E}">
          <x14:id>{05F5833E-9EDD-4C98-9B87-D1392F5EE1CE}</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F5833E-9EDD-4C98-9B87-D1392F5EE1CE}">
            <x14:dataBar minLength="0" maxLength="100" gradient="0">
              <x14:cfvo type="autoMin"/>
              <x14:cfvo type="autoMax"/>
              <x14:negativeFillColor rgb="FFFF0000"/>
              <x14:axisColor rgb="FF000000"/>
            </x14:dataBar>
          </x14:cfRule>
          <xm:sqref>H11:H20</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CC08-99B8-4458-B568-0902B973B10E}">
  <dimension ref="A1:Q34"/>
  <sheetViews>
    <sheetView showGridLines="0" tabSelected="1" zoomScale="70" zoomScaleNormal="70" workbookViewId="0">
      <selection activeCell="F38" sqref="F38"/>
    </sheetView>
  </sheetViews>
  <sheetFormatPr defaultRowHeight="14.25"/>
  <cols>
    <col min="1" max="2" width="9.06640625" style="18"/>
    <col min="3" max="3" width="6.9296875" style="18" customWidth="1"/>
    <col min="4" max="4" width="2.796875" style="20" customWidth="1"/>
    <col min="5" max="5" width="14.46484375" bestFit="1" customWidth="1"/>
    <col min="6" max="7" width="16.33203125" bestFit="1" customWidth="1"/>
    <col min="8" max="8" width="15.33203125" bestFit="1" customWidth="1"/>
  </cols>
  <sheetData>
    <row r="1" spans="1:17" s="18" customFormat="1" ht="24.75" customHeight="1">
      <c r="A1" s="17" t="s">
        <v>105</v>
      </c>
      <c r="B1" s="14"/>
      <c r="C1" s="14"/>
      <c r="D1" s="14"/>
      <c r="E1" s="14"/>
      <c r="F1" s="14"/>
      <c r="G1" s="14"/>
      <c r="H1" s="14"/>
      <c r="I1" s="14"/>
      <c r="J1" s="14"/>
      <c r="K1" s="14"/>
      <c r="L1" s="14"/>
      <c r="M1" s="14"/>
      <c r="N1" s="14"/>
      <c r="O1" s="14"/>
      <c r="P1" s="14"/>
      <c r="Q1" s="14"/>
    </row>
    <row r="2" spans="1:17" s="18" customFormat="1" ht="16.899999999999999" customHeight="1">
      <c r="A2" s="19" t="s">
        <v>106</v>
      </c>
      <c r="B2" s="14"/>
      <c r="C2" s="14"/>
      <c r="D2" s="14"/>
      <c r="E2" s="14"/>
      <c r="F2" s="14"/>
      <c r="G2" s="14"/>
      <c r="H2" s="14"/>
      <c r="I2" s="14"/>
      <c r="J2" s="16"/>
      <c r="K2" s="16"/>
      <c r="L2" s="16"/>
      <c r="M2" s="16"/>
      <c r="N2" s="14"/>
      <c r="O2" s="14"/>
      <c r="P2" s="14"/>
      <c r="Q2" s="14"/>
    </row>
    <row r="3" spans="1:17" s="18" customFormat="1" ht="9" customHeight="1">
      <c r="A3" s="15"/>
      <c r="B3" s="15"/>
      <c r="C3" s="15"/>
      <c r="D3" s="15"/>
      <c r="E3" s="15"/>
      <c r="F3" s="15"/>
      <c r="G3" s="15"/>
      <c r="H3" s="15"/>
      <c r="I3" s="15"/>
      <c r="J3" s="15"/>
      <c r="K3" s="15"/>
      <c r="L3" s="15"/>
      <c r="M3" s="15"/>
      <c r="N3" s="15"/>
      <c r="O3" s="15"/>
      <c r="P3" s="15"/>
      <c r="Q3" s="15"/>
    </row>
    <row r="4" spans="1:17">
      <c r="A4" s="13"/>
      <c r="B4" s="13"/>
      <c r="C4" s="13"/>
    </row>
    <row r="5" spans="1:17">
      <c r="A5" s="13"/>
      <c r="B5" s="13"/>
      <c r="C5" s="13"/>
    </row>
    <row r="6" spans="1:17">
      <c r="A6" s="13"/>
      <c r="B6" s="13"/>
      <c r="C6" s="13"/>
    </row>
    <row r="7" spans="1:17">
      <c r="A7" s="13"/>
      <c r="B7" s="13"/>
      <c r="C7" s="13"/>
    </row>
    <row r="8" spans="1:17">
      <c r="A8" s="13"/>
      <c r="B8" s="13"/>
      <c r="C8" s="13"/>
    </row>
    <row r="9" spans="1:17">
      <c r="A9" s="13"/>
      <c r="B9" s="13"/>
      <c r="C9" s="13"/>
    </row>
    <row r="10" spans="1:17">
      <c r="A10" s="13"/>
      <c r="B10" s="13"/>
      <c r="C10" s="13"/>
      <c r="E10" s="23"/>
      <c r="F10" s="24"/>
      <c r="G10" s="25"/>
    </row>
    <row r="11" spans="1:17">
      <c r="A11" s="13"/>
      <c r="B11" s="13"/>
      <c r="C11" s="13"/>
      <c r="E11" s="26"/>
      <c r="F11" s="27"/>
      <c r="G11" s="28"/>
    </row>
    <row r="12" spans="1:17">
      <c r="A12" s="13"/>
      <c r="B12" s="13"/>
      <c r="C12" s="13"/>
      <c r="E12" s="26"/>
      <c r="F12" s="27"/>
      <c r="G12" s="28"/>
    </row>
    <row r="13" spans="1:17">
      <c r="A13" s="13"/>
      <c r="B13" s="13"/>
      <c r="C13" s="13"/>
      <c r="E13" s="26"/>
      <c r="F13" s="27"/>
      <c r="G13" s="28"/>
    </row>
    <row r="14" spans="1:17">
      <c r="A14" s="13"/>
      <c r="B14" s="13"/>
      <c r="C14" s="13"/>
      <c r="E14" s="26"/>
      <c r="F14" s="27"/>
      <c r="G14" s="28"/>
    </row>
    <row r="15" spans="1:17">
      <c r="A15" s="13"/>
      <c r="B15" s="13"/>
      <c r="C15" s="13"/>
      <c r="E15" s="26"/>
      <c r="F15" s="27"/>
      <c r="G15" s="28"/>
    </row>
    <row r="16" spans="1:17">
      <c r="A16" s="13"/>
      <c r="B16" s="13"/>
      <c r="C16" s="13"/>
      <c r="E16" s="26"/>
      <c r="F16" s="27"/>
      <c r="G16" s="28"/>
    </row>
    <row r="17" spans="1:7">
      <c r="A17" s="13"/>
      <c r="B17" s="13"/>
      <c r="C17" s="13"/>
      <c r="E17" s="26"/>
      <c r="F17" s="27"/>
      <c r="G17" s="28"/>
    </row>
    <row r="18" spans="1:7">
      <c r="A18" s="13"/>
      <c r="B18" s="13"/>
      <c r="C18" s="13"/>
      <c r="E18" s="26"/>
      <c r="F18" s="27"/>
      <c r="G18" s="28"/>
    </row>
    <row r="19" spans="1:7">
      <c r="A19" s="13"/>
      <c r="B19" s="13"/>
      <c r="C19" s="13"/>
      <c r="E19" s="26"/>
      <c r="F19" s="27"/>
      <c r="G19" s="28"/>
    </row>
    <row r="20" spans="1:7">
      <c r="A20" s="13"/>
      <c r="B20" s="13"/>
      <c r="C20" s="13"/>
      <c r="E20" s="26"/>
      <c r="F20" s="27"/>
      <c r="G20" s="28"/>
    </row>
    <row r="21" spans="1:7">
      <c r="A21" s="13"/>
      <c r="B21" s="13"/>
      <c r="C21" s="13"/>
      <c r="E21" s="26"/>
      <c r="F21" s="27"/>
      <c r="G21" s="28"/>
    </row>
    <row r="22" spans="1:7">
      <c r="A22" s="13"/>
      <c r="B22" s="13"/>
      <c r="C22" s="13"/>
      <c r="E22" s="26"/>
      <c r="F22" s="27"/>
      <c r="G22" s="28"/>
    </row>
    <row r="23" spans="1:7">
      <c r="A23" s="13"/>
      <c r="B23" s="13"/>
      <c r="C23" s="13"/>
      <c r="E23" s="26"/>
      <c r="F23" s="27"/>
      <c r="G23" s="28"/>
    </row>
    <row r="24" spans="1:7">
      <c r="A24" s="13"/>
      <c r="B24" s="13"/>
      <c r="C24" s="13"/>
      <c r="E24" s="26"/>
      <c r="F24" s="27"/>
      <c r="G24" s="28"/>
    </row>
    <row r="25" spans="1:7">
      <c r="A25" s="13"/>
      <c r="B25" s="13"/>
      <c r="C25" s="13"/>
      <c r="E25" s="26"/>
      <c r="F25" s="27"/>
      <c r="G25" s="28"/>
    </row>
    <row r="26" spans="1:7">
      <c r="A26" s="13"/>
      <c r="B26" s="13"/>
      <c r="C26" s="13"/>
      <c r="E26" s="26"/>
      <c r="F26" s="27"/>
      <c r="G26" s="28"/>
    </row>
    <row r="27" spans="1:7">
      <c r="A27" s="13"/>
      <c r="B27" s="13"/>
      <c r="C27" s="13"/>
      <c r="E27" s="29"/>
      <c r="F27" s="30"/>
      <c r="G27" s="31"/>
    </row>
    <row r="28" spans="1:7">
      <c r="A28" s="13"/>
      <c r="B28" s="13"/>
      <c r="C28" s="13"/>
    </row>
    <row r="29" spans="1:7">
      <c r="A29" s="13"/>
      <c r="B29" s="13"/>
      <c r="C29" s="13"/>
    </row>
    <row r="30" spans="1:7">
      <c r="A30" s="13"/>
      <c r="B30" s="13"/>
      <c r="C30" s="13"/>
    </row>
    <row r="31" spans="1:7">
      <c r="A31" s="13"/>
      <c r="B31" s="13"/>
      <c r="C31" s="13"/>
    </row>
    <row r="32" spans="1:7">
      <c r="A32" s="13"/>
      <c r="B32" s="13"/>
      <c r="C32" s="13"/>
    </row>
    <row r="33" spans="1:4">
      <c r="A33" s="20"/>
      <c r="B33"/>
      <c r="C33"/>
      <c r="D33"/>
    </row>
    <row r="34" spans="1:4">
      <c r="A34" s="20"/>
      <c r="B34"/>
      <c r="C34"/>
      <c r="D34"/>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Mentah</vt:lpstr>
      <vt:lpstr>Data Olah</vt:lpstr>
      <vt:lpstr>Calculation</vt:lpstr>
      <vt:lpstr>Dashboard</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Alvin Arya</cp:lastModifiedBy>
  <dcterms:created xsi:type="dcterms:W3CDTF">2026-04-01T04:32:28Z</dcterms:created>
  <dcterms:modified xsi:type="dcterms:W3CDTF">2026-07-05T10:13:03Z</dcterms:modified>
</cp:coreProperties>
</file>